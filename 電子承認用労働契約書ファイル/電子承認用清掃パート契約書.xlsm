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ytec\OneDrive\Desktop\電子承認用労働契約書ファイル\"/>
    </mc:Choice>
  </mc:AlternateContent>
  <xr:revisionPtr revIDLastSave="0" documentId="13_ncr:1_{0144CD64-4A3B-4ACB-9DE6-CEACE7439A65}" xr6:coauthVersionLast="47" xr6:coauthVersionMax="47" xr10:uidLastSave="{00000000-0000-0000-0000-000000000000}"/>
  <bookViews>
    <workbookView xWindow="6456" yWindow="0" windowWidth="13908" windowHeight="12240" tabRatio="909" activeTab="1" xr2:uid="{6EAB5D35-9AD8-48B6-A241-D5F527C69C5D}"/>
  </bookViews>
  <sheets>
    <sheet name="清掃パート勤務形態一覧" sheetId="3" r:id="rId1"/>
    <sheet name="契約書ベース (1)" sheetId="15" r:id="rId2"/>
    <sheet name="契約書 複数担当(2-6)" sheetId="14" r:id="rId3"/>
    <sheet name="契約書 夜間清掃(1) " sheetId="17" r:id="rId4"/>
    <sheet name="契約書 夜間清掃 複数" sheetId="25" r:id="rId5"/>
    <sheet name="契約書 定期清掃 (1)" sheetId="20" r:id="rId6"/>
    <sheet name="契約書 夜間_定期" sheetId="18" r:id="rId7"/>
    <sheet name="契約書 夜間_日中" sheetId="21" r:id="rId8"/>
    <sheet name="契約書 (押村)" sheetId="22" r:id="rId9"/>
    <sheet name="契約書 複数担当(清水)" sheetId="24" r:id="rId10"/>
  </sheets>
  <definedNames>
    <definedName name="_xleta.TODAY" hidden="1" xlm="1">#NAME?</definedName>
    <definedName name="_xlnm.Print_Area" localSheetId="8">'契約書 (押村)'!$A$1:$BX$37</definedName>
    <definedName name="_xlnm.Print_Area" localSheetId="5">'契約書 定期清掃 (1)'!$A$1:$BX$36</definedName>
    <definedName name="_xlnm.Print_Area" localSheetId="2">'契約書 複数担当(2-6)'!$A$1:$BX$37</definedName>
    <definedName name="_xlnm.Print_Area" localSheetId="9">'契約書 複数担当(清水)'!$A$1:$BX$38</definedName>
    <definedName name="_xlnm.Print_Area" localSheetId="6">'契約書 夜間_定期'!$A$1:$BX$38</definedName>
    <definedName name="_xlnm.Print_Area" localSheetId="7">'契約書 夜間_日中'!$A$1:$BX$35</definedName>
    <definedName name="_xlnm.Print_Area" localSheetId="4">'契約書 夜間清掃 複数'!$A$1:$BX$38</definedName>
    <definedName name="_xlnm.Print_Area" localSheetId="3">'契約書 夜間清掃(1) '!$A$1:$BY$35</definedName>
    <definedName name="_xlnm.Print_Area" localSheetId="1">'契約書ベース (1)'!$A$1:$BX$35</definedName>
    <definedName name="_xlnm.Print_Area" localSheetId="0">清掃パート勤務形態一覧!$D$2:$AL$86</definedName>
    <definedName name="_xlnm.Print_Titles" localSheetId="0">清掃パート勤務形態一覧!$2:$2</definedName>
    <definedName name="xxx">#REF!</definedName>
    <definedName name="マイナンバー社員住所なし">#REF!</definedName>
    <definedName name="月">#REF!</definedName>
    <definedName name="月1">#REF!</definedName>
    <definedName name="性別">#REF!</definedName>
    <definedName name="店名">#REF!</definedName>
    <definedName name="日">#REF!</definedName>
    <definedName name="日1">#REF!</definedName>
    <definedName name="年">#REF!</definedName>
    <definedName name="年1">#REF!</definedName>
    <definedName name="年号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T54" i="3" l="1"/>
  <c r="AU54" i="3" s="1"/>
  <c r="AU51" i="3"/>
  <c r="AU52" i="3"/>
  <c r="AU53" i="3"/>
  <c r="AR54" i="3"/>
  <c r="AP54" i="3"/>
  <c r="AR32" i="24" l="1"/>
  <c r="AR35" i="22"/>
  <c r="AR27" i="21"/>
  <c r="AR26" i="21"/>
  <c r="AR29" i="21"/>
  <c r="AR29" i="18"/>
  <c r="AR26" i="20"/>
  <c r="AR26" i="25"/>
  <c r="AS26" i="17"/>
  <c r="AS32" i="14"/>
  <c r="AR27" i="15"/>
  <c r="AM18" i="18"/>
  <c r="AT1" i="18"/>
  <c r="AM15" i="20"/>
  <c r="AM15" i="15" l="1"/>
  <c r="T17" i="25"/>
  <c r="T16" i="25"/>
  <c r="I17" i="25"/>
  <c r="T10" i="25"/>
  <c r="AM15" i="25"/>
  <c r="I34" i="25"/>
  <c r="W24" i="25"/>
  <c r="R24" i="25"/>
  <c r="C24" i="25"/>
  <c r="N23" i="25"/>
  <c r="Z15" i="25"/>
  <c r="I16" i="25"/>
  <c r="J10" i="25"/>
  <c r="P4" i="25"/>
  <c r="AB11" i="14"/>
  <c r="AM21" i="24"/>
  <c r="AT4" i="24"/>
  <c r="V32" i="24"/>
  <c r="P32" i="24"/>
  <c r="C32" i="24"/>
  <c r="P31" i="24"/>
  <c r="P30" i="24"/>
  <c r="V24" i="24"/>
  <c r="I24" i="24"/>
  <c r="V23" i="24"/>
  <c r="I23" i="24"/>
  <c r="V22" i="24"/>
  <c r="I22" i="24"/>
  <c r="V21" i="24"/>
  <c r="I21" i="24"/>
  <c r="V20" i="24"/>
  <c r="I20" i="24"/>
  <c r="V19" i="24"/>
  <c r="I19" i="24"/>
  <c r="V18" i="24"/>
  <c r="I18" i="24"/>
  <c r="AA17" i="24"/>
  <c r="I12" i="24"/>
  <c r="AB11" i="24"/>
  <c r="S11" i="24"/>
  <c r="I11" i="24"/>
  <c r="AB10" i="24"/>
  <c r="S10" i="24"/>
  <c r="I10" i="24"/>
  <c r="P4" i="24"/>
  <c r="AT12" i="3"/>
  <c r="AU12" i="3" s="1"/>
  <c r="AR12" i="3"/>
  <c r="AP12" i="3" l="1"/>
  <c r="B86" i="3"/>
  <c r="AA15" i="20"/>
  <c r="R35" i="22"/>
  <c r="R34" i="22"/>
  <c r="AM24" i="22"/>
  <c r="AT7" i="22"/>
  <c r="R33" i="22"/>
  <c r="R32" i="22"/>
  <c r="I22" i="22"/>
  <c r="W21" i="22"/>
  <c r="I21" i="22"/>
  <c r="W20" i="22"/>
  <c r="I20" i="22"/>
  <c r="W19" i="22"/>
  <c r="I19" i="22"/>
  <c r="W18" i="22"/>
  <c r="I18" i="22"/>
  <c r="W17" i="22"/>
  <c r="I17" i="22"/>
  <c r="AA16" i="22"/>
  <c r="AB11" i="22"/>
  <c r="S11" i="22"/>
  <c r="I11" i="22"/>
  <c r="AB10" i="22"/>
  <c r="S10" i="22"/>
  <c r="I10" i="22"/>
  <c r="P4" i="22"/>
  <c r="P25" i="21"/>
  <c r="V25" i="21"/>
  <c r="C25" i="21"/>
  <c r="I18" i="18"/>
  <c r="X22" i="15"/>
  <c r="R22" i="15"/>
  <c r="C22" i="15"/>
  <c r="R23" i="17"/>
  <c r="W23" i="17"/>
  <c r="C23" i="17"/>
  <c r="P31" i="14"/>
  <c r="V31" i="14"/>
  <c r="C31" i="14"/>
  <c r="AM18" i="21"/>
  <c r="AT1" i="21"/>
  <c r="P24" i="21"/>
  <c r="P23" i="21"/>
  <c r="W17" i="21"/>
  <c r="I17" i="21"/>
  <c r="W16" i="21"/>
  <c r="I16" i="21"/>
  <c r="AA15" i="21"/>
  <c r="S10" i="21"/>
  <c r="I10" i="21"/>
  <c r="P4" i="21"/>
  <c r="P24" i="20"/>
  <c r="J17" i="20"/>
  <c r="I34" i="20"/>
  <c r="P23" i="20"/>
  <c r="J16" i="20"/>
  <c r="I10" i="20"/>
  <c r="P4" i="20"/>
  <c r="P30" i="18"/>
  <c r="P29" i="18"/>
  <c r="P28" i="18"/>
  <c r="V17" i="18"/>
  <c r="I17" i="18"/>
  <c r="V16" i="18"/>
  <c r="I16" i="18"/>
  <c r="T10" i="18"/>
  <c r="I10" i="18"/>
  <c r="P4" i="18"/>
  <c r="AN15" i="17"/>
  <c r="I33" i="17"/>
  <c r="N22" i="17"/>
  <c r="AA16" i="17"/>
  <c r="I16" i="17"/>
  <c r="I10" i="17"/>
  <c r="P4" i="17"/>
  <c r="P30" i="14"/>
  <c r="P29" i="14"/>
  <c r="V23" i="14"/>
  <c r="V22" i="14"/>
  <c r="V21" i="14"/>
  <c r="V20" i="14"/>
  <c r="V19" i="14"/>
  <c r="V18" i="14"/>
  <c r="V17" i="14"/>
  <c r="AA16" i="14"/>
  <c r="I23" i="14"/>
  <c r="I22" i="14"/>
  <c r="I21" i="14"/>
  <c r="I20" i="14"/>
  <c r="I19" i="14"/>
  <c r="I18" i="14"/>
  <c r="I17" i="14"/>
  <c r="S11" i="14"/>
  <c r="I11" i="14"/>
  <c r="AB10" i="14"/>
  <c r="S10" i="14"/>
  <c r="I10" i="14"/>
  <c r="AN21" i="14"/>
  <c r="AU4" i="14"/>
  <c r="P4" i="14"/>
  <c r="I33" i="15"/>
  <c r="P21" i="15"/>
  <c r="I15" i="15"/>
  <c r="AA15" i="15"/>
  <c r="I10" i="15"/>
  <c r="P4" i="15"/>
  <c r="AT84" i="3"/>
  <c r="AR84" i="3"/>
  <c r="AP84" i="3"/>
  <c r="AT83" i="3"/>
  <c r="AU83" i="3" s="1"/>
  <c r="AR83" i="3"/>
  <c r="AP83" i="3"/>
  <c r="AT82" i="3"/>
  <c r="AU82" i="3" s="1"/>
  <c r="AR82" i="3"/>
  <c r="AP82" i="3"/>
  <c r="AT75" i="3"/>
  <c r="AU75" i="3" s="1"/>
  <c r="AR75" i="3"/>
  <c r="AP75" i="3"/>
  <c r="AT81" i="3"/>
  <c r="AU81" i="3" s="1"/>
  <c r="AR81" i="3"/>
  <c r="AP81" i="3"/>
  <c r="AT80" i="3"/>
  <c r="AU80" i="3" s="1"/>
  <c r="AR80" i="3"/>
  <c r="AP80" i="3"/>
  <c r="AT79" i="3"/>
  <c r="AU79" i="3" s="1"/>
  <c r="AR79" i="3"/>
  <c r="AP79" i="3"/>
  <c r="AT78" i="3"/>
  <c r="AU78" i="3" s="1"/>
  <c r="AR78" i="3"/>
  <c r="AP78" i="3"/>
  <c r="AT77" i="3"/>
  <c r="AU77" i="3" s="1"/>
  <c r="AR77" i="3"/>
  <c r="AP77" i="3"/>
  <c r="AT76" i="3"/>
  <c r="AU76" i="3" s="1"/>
  <c r="AR76" i="3"/>
  <c r="AP76" i="3"/>
  <c r="AT74" i="3"/>
  <c r="AU74" i="3" s="1"/>
  <c r="AR74" i="3"/>
  <c r="AP74" i="3"/>
  <c r="AT73" i="3"/>
  <c r="AU73" i="3" s="1"/>
  <c r="AR73" i="3"/>
  <c r="AP73" i="3"/>
  <c r="AT72" i="3"/>
  <c r="AR72" i="3"/>
  <c r="AP72" i="3"/>
  <c r="AT71" i="3"/>
  <c r="AR71" i="3"/>
  <c r="AP71" i="3"/>
  <c r="AR70" i="3"/>
  <c r="AP70" i="3"/>
  <c r="AT69" i="3"/>
  <c r="AU69" i="3" s="1"/>
  <c r="AR69" i="3"/>
  <c r="AP69" i="3"/>
  <c r="AT68" i="3"/>
  <c r="AU68" i="3" s="1"/>
  <c r="AR68" i="3"/>
  <c r="AP68" i="3"/>
  <c r="AT67" i="3"/>
  <c r="AU67" i="3" s="1"/>
  <c r="AR67" i="3"/>
  <c r="AP67" i="3"/>
  <c r="AT66" i="3"/>
  <c r="AU66" i="3" s="1"/>
  <c r="AR66" i="3"/>
  <c r="AP66" i="3"/>
  <c r="AT65" i="3"/>
  <c r="AU65" i="3" s="1"/>
  <c r="AR65" i="3"/>
  <c r="AP65" i="3"/>
  <c r="AT64" i="3"/>
  <c r="AU64" i="3" s="1"/>
  <c r="AR64" i="3"/>
  <c r="AP64" i="3"/>
  <c r="AT63" i="3"/>
  <c r="AR63" i="3"/>
  <c r="AP63" i="3"/>
  <c r="AT62" i="3"/>
  <c r="AU62" i="3" s="1"/>
  <c r="AR62" i="3"/>
  <c r="AP62" i="3"/>
  <c r="AT61" i="3"/>
  <c r="AU61" i="3" s="1"/>
  <c r="AR61" i="3"/>
  <c r="AP61" i="3"/>
  <c r="AT60" i="3"/>
  <c r="AU60" i="3" s="1"/>
  <c r="AR60" i="3"/>
  <c r="AP60" i="3"/>
  <c r="AT59" i="3"/>
  <c r="AU59" i="3" s="1"/>
  <c r="AR59" i="3"/>
  <c r="AP59" i="3"/>
  <c r="AT58" i="3"/>
  <c r="AU58" i="3" s="1"/>
  <c r="AR58" i="3"/>
  <c r="AP58" i="3"/>
  <c r="AR57" i="3"/>
  <c r="AP57" i="3"/>
  <c r="AR56" i="3"/>
  <c r="AP56" i="3"/>
  <c r="AT55" i="3"/>
  <c r="AR55" i="3"/>
  <c r="AP55" i="3"/>
  <c r="AT85" i="3"/>
  <c r="AU85" i="3" s="1"/>
  <c r="AR85" i="3"/>
  <c r="AP85" i="3"/>
  <c r="AT53" i="3"/>
  <c r="AR53" i="3"/>
  <c r="AP53" i="3"/>
  <c r="AR52" i="3"/>
  <c r="AP52" i="3"/>
  <c r="AR51" i="3"/>
  <c r="AP51" i="3"/>
  <c r="AT50" i="3"/>
  <c r="AU50" i="3" s="1"/>
  <c r="AR50" i="3"/>
  <c r="AP50" i="3"/>
  <c r="AT49" i="3"/>
  <c r="AU49" i="3" s="1"/>
  <c r="AR49" i="3"/>
  <c r="AP49" i="3"/>
  <c r="AT48" i="3"/>
  <c r="AU48" i="3" s="1"/>
  <c r="AR48" i="3"/>
  <c r="AP48" i="3"/>
  <c r="AR47" i="3"/>
  <c r="AP47" i="3"/>
  <c r="AT46" i="3"/>
  <c r="AU46" i="3" s="1"/>
  <c r="AR46" i="3"/>
  <c r="AP46" i="3"/>
  <c r="AT45" i="3"/>
  <c r="AU45" i="3" s="1"/>
  <c r="AR45" i="3"/>
  <c r="AP45" i="3"/>
  <c r="AT44" i="3"/>
  <c r="AU44" i="3" s="1"/>
  <c r="AR44" i="3"/>
  <c r="AP44" i="3"/>
  <c r="AT43" i="3"/>
  <c r="AU43" i="3" s="1"/>
  <c r="AR43" i="3"/>
  <c r="AP43" i="3"/>
  <c r="AT42" i="3"/>
  <c r="AU42" i="3" s="1"/>
  <c r="AR42" i="3"/>
  <c r="AP42" i="3"/>
  <c r="AT41" i="3"/>
  <c r="AU41" i="3" s="1"/>
  <c r="AR41" i="3"/>
  <c r="AP41" i="3"/>
  <c r="AT40" i="3"/>
  <c r="AU40" i="3" s="1"/>
  <c r="AR40" i="3"/>
  <c r="AP40" i="3"/>
  <c r="AT39" i="3"/>
  <c r="AU39" i="3" s="1"/>
  <c r="AR39" i="3"/>
  <c r="AP39" i="3"/>
  <c r="AT38" i="3"/>
  <c r="AU38" i="3" s="1"/>
  <c r="AR38" i="3"/>
  <c r="AP38" i="3"/>
  <c r="AT37" i="3"/>
  <c r="AU37" i="3" s="1"/>
  <c r="AR37" i="3"/>
  <c r="AP37" i="3"/>
  <c r="AT36" i="3"/>
  <c r="AU36" i="3" s="1"/>
  <c r="AR36" i="3"/>
  <c r="AP36" i="3"/>
  <c r="AT35" i="3"/>
  <c r="AU35" i="3" s="1"/>
  <c r="AR35" i="3"/>
  <c r="AP35" i="3"/>
  <c r="AT34" i="3"/>
  <c r="AU34" i="3" s="1"/>
  <c r="AR34" i="3"/>
  <c r="AP34" i="3"/>
  <c r="AT33" i="3"/>
  <c r="AU33" i="3" s="1"/>
  <c r="AR33" i="3"/>
  <c r="AP33" i="3"/>
  <c r="AT32" i="3"/>
  <c r="AU32" i="3" s="1"/>
  <c r="AR32" i="3"/>
  <c r="AP32" i="3"/>
  <c r="AT31" i="3"/>
  <c r="AU31" i="3" s="1"/>
  <c r="AR31" i="3"/>
  <c r="AP31" i="3"/>
  <c r="AT30" i="3"/>
  <c r="AU30" i="3" s="1"/>
  <c r="AR30" i="3"/>
  <c r="AP30" i="3"/>
  <c r="AT29" i="3"/>
  <c r="AR29" i="3"/>
  <c r="AP29" i="3"/>
  <c r="AT28" i="3"/>
  <c r="AU28" i="3" s="1"/>
  <c r="AR28" i="3"/>
  <c r="AP28" i="3"/>
  <c r="AT27" i="3"/>
  <c r="AU27" i="3" s="1"/>
  <c r="AR27" i="3"/>
  <c r="AP27" i="3"/>
  <c r="AT26" i="3"/>
  <c r="AU26" i="3" s="1"/>
  <c r="AR26" i="3"/>
  <c r="AP26" i="3"/>
  <c r="AT25" i="3"/>
  <c r="AU25" i="3" s="1"/>
  <c r="AR25" i="3"/>
  <c r="AP25" i="3"/>
  <c r="AT24" i="3"/>
  <c r="AU24" i="3" s="1"/>
  <c r="AR24" i="3"/>
  <c r="AP24" i="3"/>
  <c r="AT23" i="3"/>
  <c r="AU23" i="3" s="1"/>
  <c r="AR23" i="3"/>
  <c r="AP23" i="3"/>
  <c r="AT22" i="3"/>
  <c r="AR22" i="3"/>
  <c r="AP22" i="3"/>
  <c r="AT21" i="3"/>
  <c r="AU21" i="3" s="1"/>
  <c r="AR21" i="3"/>
  <c r="AP21" i="3"/>
  <c r="AT20" i="3"/>
  <c r="AU20" i="3" s="1"/>
  <c r="AR20" i="3"/>
  <c r="AP20" i="3"/>
  <c r="AT19" i="3"/>
  <c r="AU19" i="3" s="1"/>
  <c r="AR19" i="3"/>
  <c r="AP19" i="3"/>
  <c r="AT18" i="3"/>
  <c r="AU18" i="3" s="1"/>
  <c r="AR18" i="3"/>
  <c r="AP18" i="3"/>
  <c r="AT17" i="3"/>
  <c r="AU17" i="3" s="1"/>
  <c r="AR17" i="3"/>
  <c r="AP17" i="3"/>
  <c r="AT16" i="3"/>
  <c r="AU16" i="3" s="1"/>
  <c r="AR16" i="3"/>
  <c r="AP16" i="3"/>
  <c r="AT15" i="3"/>
  <c r="AU15" i="3" s="1"/>
  <c r="AR15" i="3"/>
  <c r="AP15" i="3"/>
  <c r="AT14" i="3"/>
  <c r="AU14" i="3" s="1"/>
  <c r="AR14" i="3"/>
  <c r="AP14" i="3"/>
  <c r="AT13" i="3"/>
  <c r="AR13" i="3"/>
  <c r="AP13" i="3"/>
  <c r="AT11" i="3"/>
  <c r="AU11" i="3" s="1"/>
  <c r="AR11" i="3"/>
  <c r="AP11" i="3"/>
  <c r="AT10" i="3"/>
  <c r="AU10" i="3" s="1"/>
  <c r="AR10" i="3"/>
  <c r="AP10" i="3"/>
  <c r="AT9" i="3"/>
  <c r="AU9" i="3" s="1"/>
  <c r="AR9" i="3"/>
  <c r="AP9" i="3"/>
  <c r="AT8" i="3"/>
  <c r="AU8" i="3" s="1"/>
  <c r="AR8" i="3"/>
  <c r="AP8" i="3"/>
  <c r="AR7" i="3"/>
  <c r="AP7" i="3"/>
  <c r="AT6" i="3"/>
  <c r="AU6" i="3" s="1"/>
  <c r="AR6" i="3"/>
  <c r="AP6" i="3"/>
  <c r="AT5" i="3"/>
  <c r="AU5" i="3" s="1"/>
  <c r="AR5" i="3"/>
  <c r="AP5" i="3"/>
  <c r="AT4" i="3"/>
  <c r="AU4" i="3" s="1"/>
  <c r="AR4" i="3"/>
  <c r="AP4" i="3"/>
  <c r="AR3" i="3"/>
  <c r="AP3" i="3"/>
  <c r="AU13" i="3" l="1"/>
  <c r="AR24" i="20" s="1"/>
  <c r="AR23" i="20"/>
  <c r="AU29" i="3"/>
  <c r="AR30" i="24" s="1"/>
  <c r="AR29" i="24"/>
  <c r="AU71" i="3"/>
  <c r="AS30" i="14" s="1"/>
  <c r="AS29" i="14"/>
  <c r="AU63" i="3"/>
  <c r="AR24" i="25" s="1"/>
  <c r="AR23" i="25"/>
  <c r="AU55" i="3"/>
  <c r="AR33" i="22" s="1"/>
  <c r="AR32" i="22"/>
  <c r="AU72" i="3"/>
  <c r="AR27" i="18" s="1"/>
  <c r="AR26" i="18"/>
  <c r="AU84" i="3"/>
  <c r="AS24" i="17" s="1"/>
  <c r="AS23" i="17"/>
  <c r="AU22" i="3"/>
  <c r="AR25" i="15" s="1"/>
  <c r="AR24" i="15"/>
</calcChain>
</file>

<file path=xl/sharedStrings.xml><?xml version="1.0" encoding="utf-8"?>
<sst xmlns="http://schemas.openxmlformats.org/spreadsheetml/2006/main" count="1462" uniqueCount="601">
  <si>
    <t>大和市下和田８０６番１</t>
  </si>
  <si>
    <t>ビブレⅡ２０１号</t>
  </si>
  <si>
    <t>234-0057</t>
  </si>
  <si>
    <t>汲沢一丁目１１番５　４０１号</t>
  </si>
  <si>
    <t>松岡   晃</t>
  </si>
  <si>
    <t>茅ヶ崎市赤松町</t>
  </si>
  <si>
    <t>上矢部町３１８６鳥ヶ谷ハイツ１０３号</t>
  </si>
  <si>
    <t>横浜市戸塚区</t>
  </si>
  <si>
    <t>上柏尾町３７０番地５２</t>
  </si>
  <si>
    <t>〒</t>
  </si>
  <si>
    <t>244-0816</t>
  </si>
  <si>
    <t>245-0061</t>
  </si>
  <si>
    <t>244-0815</t>
  </si>
  <si>
    <t>244-0003</t>
  </si>
  <si>
    <t>244-0842</t>
  </si>
  <si>
    <t>233-0016</t>
  </si>
  <si>
    <t>245-0018</t>
  </si>
  <si>
    <t>234-0056</t>
  </si>
  <si>
    <t>245-0053</t>
  </si>
  <si>
    <t>244-0002</t>
  </si>
  <si>
    <t>ssa-009</t>
  </si>
  <si>
    <t>242-0015</t>
  </si>
  <si>
    <t>ssa-010</t>
  </si>
  <si>
    <t>245-0015</t>
  </si>
  <si>
    <t>ssa-002</t>
  </si>
  <si>
    <t>ssa-004</t>
  </si>
  <si>
    <t>ssa-001</t>
  </si>
  <si>
    <t>上倉田町１１０９</t>
  </si>
  <si>
    <t>ssa-005</t>
  </si>
  <si>
    <t>ssa-006</t>
  </si>
  <si>
    <t>244-0817</t>
  </si>
  <si>
    <t>ssa-007</t>
  </si>
  <si>
    <t>232-0075</t>
  </si>
  <si>
    <t>ssa-003</t>
  </si>
  <si>
    <t>oth-016</t>
  </si>
  <si>
    <t>244-0841</t>
  </si>
  <si>
    <t>oth-006</t>
  </si>
  <si>
    <t>oth-018</t>
  </si>
  <si>
    <t>245-0003</t>
  </si>
  <si>
    <t>oth-014</t>
  </si>
  <si>
    <t>245-0062</t>
  </si>
  <si>
    <t>oth-017</t>
  </si>
  <si>
    <t>oth-021</t>
  </si>
  <si>
    <t>oth-020</t>
  </si>
  <si>
    <t>253-0006</t>
  </si>
  <si>
    <t>oth-009</t>
  </si>
  <si>
    <t>oth-010</t>
  </si>
  <si>
    <t>244-0812</t>
  </si>
  <si>
    <t>oth-011</t>
  </si>
  <si>
    <t>oth-012</t>
  </si>
  <si>
    <t>oth-013</t>
  </si>
  <si>
    <t>244-0021</t>
  </si>
  <si>
    <t>oth-001</t>
  </si>
  <si>
    <t>234-0051</t>
  </si>
  <si>
    <t>oth-003</t>
  </si>
  <si>
    <t>横浜市戸塚区下倉田５５３番地第１３山仁ハイツ３０３号</t>
  </si>
  <si>
    <t>oth-019</t>
  </si>
  <si>
    <t>240-0045</t>
  </si>
  <si>
    <t>sns-001</t>
  </si>
  <si>
    <t>245-0051</t>
  </si>
  <si>
    <t>sns-002</t>
  </si>
  <si>
    <t>sns-003</t>
  </si>
  <si>
    <t>sns-004</t>
  </si>
  <si>
    <t>sns-005</t>
  </si>
  <si>
    <t>stb-003</t>
  </si>
  <si>
    <t>232-0065</t>
  </si>
  <si>
    <t>stb-002</t>
  </si>
  <si>
    <t>220-0054</t>
  </si>
  <si>
    <t>stb-004</t>
  </si>
  <si>
    <t>220-0042</t>
  </si>
  <si>
    <t>stb-005</t>
  </si>
  <si>
    <t>248-0017</t>
  </si>
  <si>
    <t>stb-007</t>
  </si>
  <si>
    <t>sn7-005</t>
  </si>
  <si>
    <t>246-0006</t>
  </si>
  <si>
    <t>sn7-002</t>
  </si>
  <si>
    <t>221-0013</t>
  </si>
  <si>
    <t>sn7-001</t>
  </si>
  <si>
    <t>231-0002</t>
  </si>
  <si>
    <t>sn7-009</t>
  </si>
  <si>
    <t>sn7-010</t>
  </si>
  <si>
    <t>231-0027</t>
  </si>
  <si>
    <t>f1d-003</t>
  </si>
  <si>
    <t>f1d-002</t>
  </si>
  <si>
    <t>f1d-014</t>
  </si>
  <si>
    <t>245-0052</t>
  </si>
  <si>
    <t>f1n-005</t>
  </si>
  <si>
    <t>f1n-006</t>
  </si>
  <si>
    <t>f1n-007</t>
  </si>
  <si>
    <t>f1n-008</t>
  </si>
  <si>
    <t>245-0022</t>
  </si>
  <si>
    <t>f1n-009</t>
  </si>
  <si>
    <t>252-1107</t>
  </si>
  <si>
    <t>f1n-011</t>
  </si>
  <si>
    <t>f2d-001</t>
  </si>
  <si>
    <t>253-0013</t>
  </si>
  <si>
    <t>f2d-002</t>
  </si>
  <si>
    <t>f2d-23</t>
  </si>
  <si>
    <t>f2n-007</t>
  </si>
  <si>
    <t>f2n-004</t>
  </si>
  <si>
    <t>f2n-006</t>
  </si>
  <si>
    <t>f2n-013</t>
  </si>
  <si>
    <t>f2n-014</t>
  </si>
  <si>
    <t>f2n-015</t>
  </si>
  <si>
    <t>245-0853</t>
  </si>
  <si>
    <t>f2n-017</t>
  </si>
  <si>
    <t>233-0015</t>
  </si>
  <si>
    <t>f2n-018</t>
  </si>
  <si>
    <t>247-0056</t>
  </si>
  <si>
    <t>f2n-022</t>
  </si>
  <si>
    <t>244-0001</t>
  </si>
  <si>
    <t>f2n-023</t>
  </si>
  <si>
    <t>f3d-007</t>
  </si>
  <si>
    <t>f3d-011</t>
  </si>
  <si>
    <t>245-0014</t>
  </si>
  <si>
    <t>f3n-004</t>
  </si>
  <si>
    <t>245-0067</t>
  </si>
  <si>
    <t>f3n-006</t>
  </si>
  <si>
    <t>f3n-010</t>
  </si>
  <si>
    <t>f5d-002</t>
  </si>
  <si>
    <t>244-0811</t>
  </si>
  <si>
    <t>f5n-010</t>
  </si>
  <si>
    <t>244-0802</t>
  </si>
  <si>
    <t>f5n-004</t>
  </si>
  <si>
    <t>f5n-005</t>
  </si>
  <si>
    <t>f5n-006</t>
  </si>
  <si>
    <t>WワークBSメイン</t>
  </si>
  <si>
    <t>240-0044</t>
  </si>
  <si>
    <t>f8d-001</t>
  </si>
  <si>
    <t>240-0032</t>
  </si>
  <si>
    <t>f8d-018</t>
  </si>
  <si>
    <t>241-0013</t>
  </si>
  <si>
    <t>f8n-006</t>
  </si>
  <si>
    <t>240-0006</t>
  </si>
  <si>
    <t>f8n-003</t>
  </si>
  <si>
    <t>240-0025</t>
  </si>
  <si>
    <t>f8n-007</t>
  </si>
  <si>
    <t>240-0042</t>
  </si>
  <si>
    <t>f8n-013</t>
  </si>
  <si>
    <t>232-0064</t>
  </si>
  <si>
    <t>240-0041</t>
  </si>
  <si>
    <t>f8n-015</t>
  </si>
  <si>
    <t>f8n-016</t>
  </si>
  <si>
    <t>f8n-017</t>
  </si>
  <si>
    <t>検索コード</t>
  </si>
  <si>
    <t>管理コード</t>
  </si>
  <si>
    <t>氏　名</t>
  </si>
  <si>
    <t>税区分</t>
  </si>
  <si>
    <t>契約時間</t>
  </si>
  <si>
    <t>保険加入</t>
  </si>
  <si>
    <t>入社日</t>
  </si>
  <si>
    <t>経過年数</t>
  </si>
  <si>
    <t>生年月日</t>
  </si>
  <si>
    <t>満年齢</t>
  </si>
  <si>
    <t>住所</t>
  </si>
  <si>
    <t>住所1</t>
  </si>
  <si>
    <t>住所2</t>
  </si>
  <si>
    <t>甲</t>
  </si>
  <si>
    <t>加入・健保</t>
  </si>
  <si>
    <t>加入</t>
  </si>
  <si>
    <t>乙</t>
  </si>
  <si>
    <t>佐藤　はる美</t>
  </si>
  <si>
    <t>加入・健保・介護・年金</t>
  </si>
  <si>
    <t>大和市下和田８０６番１ビブレⅡ２０１号</t>
  </si>
  <si>
    <t>横浜市泉区中田西一丁目６番２８－１０２号</t>
  </si>
  <si>
    <t>福田　悦子</t>
  </si>
  <si>
    <t>横浜市戸塚区戸塚町４５３６番地１２戸塚富士見丘ハイツＤ棟５０１号</t>
  </si>
  <si>
    <t>宮井　順子</t>
  </si>
  <si>
    <t>横浜市戸塚戸塚町４５３６番地１８ 富士見丘ハイツC棟５０４号</t>
  </si>
  <si>
    <t>横山　映子</t>
  </si>
  <si>
    <t>横浜市戸塚区上倉田町1109</t>
  </si>
  <si>
    <t>渡部　都美子</t>
  </si>
  <si>
    <t>横浜市戸塚区矢部町５７２番地</t>
  </si>
  <si>
    <t>石井　菊代</t>
  </si>
  <si>
    <t>横浜市戸塚区吉田町１１１０番地１８サンパティーク戸塚１０２号</t>
  </si>
  <si>
    <t>竹本　幸子</t>
  </si>
  <si>
    <t>加入,健保（ご主人を扶養）</t>
  </si>
  <si>
    <t>横浜市南区永田みなみ台２番１１-５０６号</t>
  </si>
  <si>
    <t>岩崎　信江</t>
  </si>
  <si>
    <t>横浜市栄区飯島町５２７飯島団地３－４－３０６号　</t>
  </si>
  <si>
    <t>金木　靖幸</t>
  </si>
  <si>
    <t>横浜市栄区長沼町２６６番地ヴィラージュ石井１０２号</t>
  </si>
  <si>
    <t>伊藤　麻美子</t>
  </si>
  <si>
    <t>横浜市戸塚区上矢部町４４０番地１ グランガーデン東戸塚６０６号</t>
  </si>
  <si>
    <t>柴田　幸恵</t>
  </si>
  <si>
    <t>横浜市泉区岡津町７５番地９</t>
  </si>
  <si>
    <t>富田　緑</t>
  </si>
  <si>
    <t>横浜市戸塚区汲沢町１０-２０</t>
  </si>
  <si>
    <t>高野　令子</t>
  </si>
  <si>
    <t>横浜市泉区和泉中田西４丁目７番1号</t>
  </si>
  <si>
    <t>櫻澤　多恵子</t>
  </si>
  <si>
    <t>横浜市南区庚台４９ひろみ荘</t>
  </si>
  <si>
    <t>小林　まち子</t>
  </si>
  <si>
    <t>神奈川県茅ケ崎市堤１７２５</t>
  </si>
  <si>
    <t>宗田　弘子</t>
  </si>
  <si>
    <t>横浜市栄区笠間３丁目２２番２７第５二本松荘１０１号</t>
  </si>
  <si>
    <t>桜井　真由子</t>
  </si>
  <si>
    <t>甲3社BTメイン</t>
  </si>
  <si>
    <t>横浜市戸塚区柏尾町１３５１番地６</t>
  </si>
  <si>
    <t>宗像　由美子</t>
  </si>
  <si>
    <t>鹿島　キヨ子</t>
  </si>
  <si>
    <t>横浜市戸塚区戸塚町５０９５番地ラ・パルフェドシティーニュNo２-３１３号</t>
  </si>
  <si>
    <t>伊藤　茂美</t>
  </si>
  <si>
    <t>横浜市都筑区北山田３丁目２７番４山田富士公園ハイツ４号棟</t>
  </si>
  <si>
    <t>新海　ヨリ子</t>
  </si>
  <si>
    <t>横浜市港南区日野５丁目２－７サンブリッジ貴奈美３０５号</t>
  </si>
  <si>
    <t>富樫　ヒサ</t>
  </si>
  <si>
    <t>甲W BTメイン</t>
  </si>
  <si>
    <t>荻野　昭子</t>
  </si>
  <si>
    <t>横浜市保土ヶ谷区川島町６５１番地ハイム向台１３－２０３号</t>
  </si>
  <si>
    <t>竹下　寛</t>
  </si>
  <si>
    <t>横浜市戸塚区名瀬町７９１番地名瀬住宅９棟１０５号</t>
  </si>
  <si>
    <t>清水　恭子</t>
  </si>
  <si>
    <t>横浜市戸塚区矢部町６００番地２</t>
  </si>
  <si>
    <t>杉本　康子</t>
  </si>
  <si>
    <t>横浜市戸塚区名瀬町７９５番地３</t>
  </si>
  <si>
    <t>松川　寿美子</t>
  </si>
  <si>
    <t>横浜市泉区上飯田町１３３１番地４１棟４０３号</t>
  </si>
  <si>
    <t>竹村　敦宏</t>
  </si>
  <si>
    <t>横浜市磯子区上中里１０２８番地１５上中里団地１５１２</t>
  </si>
  <si>
    <t>高橋　秀次</t>
  </si>
  <si>
    <t>※2022.12.11体調不良の為勤務時間大幅削減。よって雇用・健保全てからいったん退会。</t>
  </si>
  <si>
    <t>横浜市南区別所中里台２４番６号メゾンドアンドレスC２０２号</t>
  </si>
  <si>
    <t>森　君子</t>
  </si>
  <si>
    <t>横浜市西区境之谷１１３番地</t>
  </si>
  <si>
    <t>本多　政子</t>
  </si>
  <si>
    <t>横浜市西区戸部町２丁目４０番　 １階</t>
  </si>
  <si>
    <t>香田　優</t>
  </si>
  <si>
    <t>鎌倉市佐助一丁目７番１　ルザ鎌倉３０２号</t>
  </si>
  <si>
    <t>浅野　芳廣</t>
  </si>
  <si>
    <t>横浜市西区東久保町１６ー３１</t>
  </si>
  <si>
    <t>葛西　優子</t>
  </si>
  <si>
    <t>横浜市瀬谷区瀬谷町４７番１上瀬谷住宅２棟４０５号</t>
  </si>
  <si>
    <t>高島　英雄</t>
  </si>
  <si>
    <t>横浜市神奈川区新子安１丁目２７番１４－５０４号</t>
  </si>
  <si>
    <t>林　光子</t>
  </si>
  <si>
    <t>横浜市中区海岸通５丁目２５番２シャレール海岸通８１４</t>
  </si>
  <si>
    <t>渡邊　秀樹</t>
  </si>
  <si>
    <t>横浜市栄区本郷台３丁目２３ー１７</t>
  </si>
  <si>
    <t>木村　貴之</t>
  </si>
  <si>
    <t>横浜市中区扇町１丁目２番地２ Gー１ビル４０５</t>
  </si>
  <si>
    <t>阿部　時枝</t>
  </si>
  <si>
    <t>横浜市泉区上飯田町２６７０番地　県営いちょう団地１８棟２０１号</t>
  </si>
  <si>
    <t>長谷川　暁子</t>
  </si>
  <si>
    <t>横浜市戸塚区戸塚町４５３６番地１８　戸塚富士見丘ハイツB棟１０４号</t>
  </si>
  <si>
    <t>平井　圭子</t>
  </si>
  <si>
    <t>横浜市戸塚区秋葉町５４６番地２　ピアパレス戸塚２０５号</t>
  </si>
  <si>
    <t>梶山　かよ子</t>
  </si>
  <si>
    <t>横浜市戸塚区戸塚町２０２２番地１　ﾗｲｵﾝｽﾞｶﾞｰﾃﾞﾝﾋﾙｽﾞ戸塚４０６号</t>
  </si>
  <si>
    <t>藤田  和枝</t>
  </si>
  <si>
    <t>横浜市戸塚区汲沢一丁目１１番５　４０１号　</t>
  </si>
  <si>
    <t>横浜市港南区下永谷三丁目２４番４号　中永谷ハイム５　１０１</t>
  </si>
  <si>
    <t>野神　勝志</t>
  </si>
  <si>
    <t>横浜市泉区和泉が丘二丁目９番２４号</t>
  </si>
  <si>
    <t>木下　成行</t>
  </si>
  <si>
    <t>綾瀬市深谷中４丁目２５番９号</t>
  </si>
  <si>
    <t>冬木　克典</t>
  </si>
  <si>
    <t>横浜市戸塚区戸塚町３４４０番地１ビューテラス戸塚１１２号室</t>
  </si>
  <si>
    <t>内尾　直美</t>
  </si>
  <si>
    <t>神奈川県茅ヶ崎市赤松町６丁目６２番ｱﾍﾞｰﾆｭ湘南２０１号</t>
  </si>
  <si>
    <t>大阪　淑子</t>
  </si>
  <si>
    <t>横浜市港南区野庭町７５９番３上永谷パークホームズ５０４号</t>
  </si>
  <si>
    <t>大瀬　文江</t>
  </si>
  <si>
    <t>横浜市泉区上飯田町２６７０番地いちょう団地１７－３０３</t>
  </si>
  <si>
    <t>押村　喜代子</t>
  </si>
  <si>
    <t>横浜市戸塚区汲沢町１３３５番地３</t>
  </si>
  <si>
    <t>福田　愛</t>
  </si>
  <si>
    <t>横浜市戸塚区戸塚町４５３６番地１２ 戸塚富士見丘ハイツD棟５０１号</t>
  </si>
  <si>
    <t>戸塚町４５３６番地１８戸塚富士見丘ハイツC－５０４</t>
  </si>
  <si>
    <t>内山　玲子</t>
  </si>
  <si>
    <t>横浜市戸塚区上矢部町３１８６鳥ヶ谷ハイツ１０３号　</t>
  </si>
  <si>
    <t>高橋　和子</t>
  </si>
  <si>
    <t>横浜市泉区和泉が丘２丁目８番２６号</t>
  </si>
  <si>
    <t>小峰　稔</t>
  </si>
  <si>
    <t>横浜市港南区野庭町６２２番地野庭団地４棟４２９号</t>
  </si>
  <si>
    <t>光橋　季志江</t>
  </si>
  <si>
    <t>横浜市戸塚区上矢部町２８３８番地１５</t>
  </si>
  <si>
    <t>渋谷　祥美</t>
  </si>
  <si>
    <t>横浜市港南区日限山１丁目６１番５号</t>
  </si>
  <si>
    <t>中山　英喜</t>
  </si>
  <si>
    <t>鎌倉市大船２丁目２４番１９号</t>
  </si>
  <si>
    <t>伊藤　留美子</t>
  </si>
  <si>
    <t>横浜市戸塚区鳥が丘４１番地８</t>
  </si>
  <si>
    <t>苅部　正明</t>
  </si>
  <si>
    <t>横浜市栄区長沼町５７１番地２</t>
  </si>
  <si>
    <t>松下　和江</t>
  </si>
  <si>
    <t>横浜市泉区上飯田町４００番地　中野ハイツＡ－１０３</t>
  </si>
  <si>
    <t>小坂　妙子</t>
  </si>
  <si>
    <t>横浜市泉区中田南４丁目３４番２２号</t>
  </si>
  <si>
    <t>鶴本　光昭</t>
  </si>
  <si>
    <t>横浜市戸塚区深谷町１３０２番地  アークプラザ戸塚４０２号</t>
  </si>
  <si>
    <t>伊藤　愛美</t>
  </si>
  <si>
    <t>横浜市戸塚区深谷町５５番地４６</t>
  </si>
  <si>
    <t>金木　幸一</t>
  </si>
  <si>
    <t>竹内　政子</t>
  </si>
  <si>
    <t>横浜市戸塚区上柏尾町３７０番地５２</t>
  </si>
  <si>
    <t>福本　三枝</t>
  </si>
  <si>
    <t>横浜市戸塚区俣野町１４０３ドリームハイツ１５－５０５</t>
  </si>
  <si>
    <t>石黒　真弓</t>
  </si>
  <si>
    <t>横浜市戸塚区上矢部町４４０番地１　グランガーデン東戸塚５４０号</t>
  </si>
  <si>
    <t>吉田　みゆき</t>
  </si>
  <si>
    <t>横浜市戸塚区平戸町１１７４番地１　県営平戸高層ｱﾊﾟｰﾄ４棟９０６号</t>
  </si>
  <si>
    <t>加藤　礼奈</t>
  </si>
  <si>
    <t>横浜市保土ヶ谷区仏向町９５８番地ジュネツヒルＡー１０２号</t>
  </si>
  <si>
    <t>上坂　由子</t>
  </si>
  <si>
    <t>横浜市保土ヶ谷区法泉３丁目２２番法泉ハイツ１５棟１０１号</t>
  </si>
  <si>
    <t>齋藤　恵子</t>
  </si>
  <si>
    <t>横浜市旭区三反田町２６６－５</t>
  </si>
  <si>
    <t>加藤　洋子</t>
  </si>
  <si>
    <t>横浜市保土ヶ谷区権田坂３丁目２番１－２１４号</t>
  </si>
  <si>
    <t>首藤　昌代</t>
  </si>
  <si>
    <t>横浜市保土ヶ谷区狩場町１６４番地３３　ｸﾞﾘｰﾝﾋﾙｽﾞ横浜E棟１０４号</t>
  </si>
  <si>
    <t>深谷　喜一</t>
  </si>
  <si>
    <t>横浜市保土ヶ谷区星川３丁目３番３０号　　090-3813-2760</t>
  </si>
  <si>
    <t>伊藤　正樹</t>
  </si>
  <si>
    <t>横浜市保南区別所５丁目２６番２４　ドエルアルス上大岡西３０３号</t>
  </si>
  <si>
    <t>塚田　加奈</t>
  </si>
  <si>
    <t>横浜市保土ヶ谷区東川島町６２番地５号２階</t>
  </si>
  <si>
    <t>吉田　暁弘</t>
  </si>
  <si>
    <t>横浜市戸塚区深谷町９１７番地２４</t>
  </si>
  <si>
    <t>櫻井　裕次</t>
  </si>
  <si>
    <t>横浜市港南区下永谷６丁目６番１６</t>
  </si>
  <si>
    <t>大友　重美</t>
  </si>
  <si>
    <t>横浜市保土ヶ谷区狩場町４５４番地７２号</t>
  </si>
  <si>
    <t>リーダー手当</t>
    <rPh sb="4" eb="6">
      <t>テアテ</t>
    </rPh>
    <phoneticPr fontId="1"/>
  </si>
  <si>
    <t>乙</t>
    <phoneticPr fontId="1"/>
  </si>
  <si>
    <t>f5n-011</t>
    <phoneticPr fontId="1"/>
  </si>
  <si>
    <t>契約日数（週）</t>
    <rPh sb="0" eb="2">
      <t>ケイヤク</t>
    </rPh>
    <rPh sb="2" eb="4">
      <t>ニッスウ</t>
    </rPh>
    <rPh sb="5" eb="6">
      <t>シュウ</t>
    </rPh>
    <phoneticPr fontId="1"/>
  </si>
  <si>
    <t>担当者修正・確認</t>
    <rPh sb="0" eb="3">
      <t>タントウシャ</t>
    </rPh>
    <rPh sb="3" eb="5">
      <t>シュウセイ</t>
    </rPh>
    <rPh sb="6" eb="8">
      <t>カクニン</t>
    </rPh>
    <phoneticPr fontId="1"/>
  </si>
  <si>
    <t>上川氏承認</t>
    <rPh sb="0" eb="2">
      <t>カミカワ</t>
    </rPh>
    <rPh sb="2" eb="3">
      <t>シ</t>
    </rPh>
    <rPh sb="3" eb="5">
      <t>ショウニン</t>
    </rPh>
    <phoneticPr fontId="1"/>
  </si>
  <si>
    <t>付与ランク</t>
    <rPh sb="0" eb="2">
      <t>フヨ</t>
    </rPh>
    <phoneticPr fontId="1"/>
  </si>
  <si>
    <t>コーラルファーム</t>
    <phoneticPr fontId="1"/>
  </si>
  <si>
    <t>隔週1</t>
    <rPh sb="0" eb="2">
      <t>カクシュウ</t>
    </rPh>
    <phoneticPr fontId="1"/>
  </si>
  <si>
    <t>ヘイワビル</t>
    <phoneticPr fontId="1"/>
  </si>
  <si>
    <t>日中作業</t>
    <rPh sb="0" eb="2">
      <t>ニッチュウ</t>
    </rPh>
    <rPh sb="2" eb="4">
      <t>サギョウ</t>
    </rPh>
    <phoneticPr fontId="1"/>
  </si>
  <si>
    <t>夜間作業</t>
    <rPh sb="0" eb="2">
      <t>ヤカン</t>
    </rPh>
    <rPh sb="2" eb="4">
      <t>サギョウ</t>
    </rPh>
    <phoneticPr fontId="1"/>
  </si>
  <si>
    <t>東戸塚NSビル</t>
    <rPh sb="0" eb="3">
      <t>ヒガシトツカ</t>
    </rPh>
    <phoneticPr fontId="1"/>
  </si>
  <si>
    <t>勤務地（契約書記載名）</t>
    <rPh sb="0" eb="3">
      <t>キンムチ</t>
    </rPh>
    <rPh sb="4" eb="9">
      <t>ケイヤクショキサイ</t>
    </rPh>
    <rPh sb="9" eb="10">
      <t>メイ</t>
    </rPh>
    <phoneticPr fontId="1"/>
  </si>
  <si>
    <t>サクラス戸塚</t>
    <rPh sb="4" eb="6">
      <t>トツカ</t>
    </rPh>
    <phoneticPr fontId="1"/>
  </si>
  <si>
    <t>東横フェスタ3</t>
    <rPh sb="0" eb="2">
      <t>トウヨコ</t>
    </rPh>
    <phoneticPr fontId="1"/>
  </si>
  <si>
    <t>東横フェスタ5</t>
    <phoneticPr fontId="1"/>
  </si>
  <si>
    <t>東横フェスタ8</t>
    <rPh sb="0" eb="2">
      <t>トウヨコ</t>
    </rPh>
    <phoneticPr fontId="1"/>
  </si>
  <si>
    <t>東横東戸塚ビル</t>
    <rPh sb="0" eb="2">
      <t>トウヨコ</t>
    </rPh>
    <phoneticPr fontId="1"/>
  </si>
  <si>
    <t>東横フェスタ1</t>
    <rPh sb="0" eb="2">
      <t>トウヨコ</t>
    </rPh>
    <phoneticPr fontId="1"/>
  </si>
  <si>
    <t>スプリングいずみ</t>
    <phoneticPr fontId="1"/>
  </si>
  <si>
    <t>メゾンドフレール</t>
    <phoneticPr fontId="1"/>
  </si>
  <si>
    <t>ビユーティーヒルズ2001</t>
    <phoneticPr fontId="1"/>
  </si>
  <si>
    <t>東戸塚NSビル1</t>
    <rPh sb="0" eb="3">
      <t>ヒガシトツカ</t>
    </rPh>
    <phoneticPr fontId="1"/>
  </si>
  <si>
    <t>アルス東戸塚</t>
    <rPh sb="3" eb="6">
      <t>ヒガシトツカ</t>
    </rPh>
    <phoneticPr fontId="1"/>
  </si>
  <si>
    <t>東戸塚NSビル2</t>
    <rPh sb="0" eb="3">
      <t>ヒガシトツカ</t>
    </rPh>
    <phoneticPr fontId="1"/>
  </si>
  <si>
    <t>シュバルツ</t>
    <phoneticPr fontId="1"/>
  </si>
  <si>
    <t>ヴェール</t>
    <phoneticPr fontId="1"/>
  </si>
  <si>
    <t>アロマバワリー</t>
    <phoneticPr fontId="1"/>
  </si>
  <si>
    <t>合人社高島橋ビル</t>
    <rPh sb="0" eb="6">
      <t>ゴウジンシャタカシマバシ</t>
    </rPh>
    <phoneticPr fontId="1"/>
  </si>
  <si>
    <t>横浜OTビル</t>
    <rPh sb="0" eb="2">
      <t>ヨコハマ</t>
    </rPh>
    <phoneticPr fontId="1"/>
  </si>
  <si>
    <t>合人社横浜日本大通7</t>
    <rPh sb="0" eb="3">
      <t>ゴウジンシャ</t>
    </rPh>
    <rPh sb="3" eb="9">
      <t>ヨコハマニホンオオドオ</t>
    </rPh>
    <phoneticPr fontId="1"/>
  </si>
  <si>
    <t>東横フェスタ2</t>
    <rPh sb="0" eb="2">
      <t>トウヨコ</t>
    </rPh>
    <phoneticPr fontId="1"/>
  </si>
  <si>
    <t xml:space="preserve">東横フェスタ3 </t>
    <rPh sb="0" eb="2">
      <t>トウヨコ</t>
    </rPh>
    <phoneticPr fontId="1"/>
  </si>
  <si>
    <t>東横フェスタ5</t>
    <rPh sb="0" eb="2">
      <t>トウヨコ</t>
    </rPh>
    <phoneticPr fontId="1"/>
  </si>
  <si>
    <t xml:space="preserve">東横フェスタ8 </t>
    <rPh sb="0" eb="2">
      <t>トウヨコ</t>
    </rPh>
    <phoneticPr fontId="1"/>
  </si>
  <si>
    <t>パートタイム労働契約書</t>
  </si>
  <si>
    <t>労働条件により、パート雇用としての労働契約を締結した。</t>
  </si>
  <si>
    <t>誠実に行う。</t>
  </si>
  <si>
    <t>　　　　　　　　　　　　　　　　　　　</t>
  </si>
  <si>
    <t>通勤交通費は、甲の認める交通手段により支給する。</t>
  </si>
  <si>
    <t>　　　</t>
  </si>
  <si>
    <t>に振込む。（支払日が銀行休日に当たる場合はその前日）</t>
  </si>
  <si>
    <t>するときは、甲は、何時でも解約することができる。</t>
  </si>
  <si>
    <t>① 精神または身体に障害を生じ、業務に堪えられないとき。</t>
  </si>
  <si>
    <t>上記契約の成立を証するため、本書2通を作成し、記名捺印のうえ各1通宛保持</t>
    <phoneticPr fontId="1"/>
  </si>
  <si>
    <t>する。</t>
  </si>
  <si>
    <t>を乙として、以下記載の</t>
  </si>
  <si>
    <t>第1条    </t>
    <phoneticPr fontId="1"/>
  </si>
  <si>
    <t xml:space="preserve"> 乙は、下記の場所において、甲の指示に従い下記の業務を</t>
  </si>
  <si>
    <t>清掃業務　</t>
  </si>
  <si>
    <t>業　　務　　</t>
    <phoneticPr fontId="1"/>
  </si>
  <si>
    <t>第2条　</t>
    <phoneticPr fontId="1"/>
  </si>
  <si>
    <t xml:space="preserve">①  </t>
    <phoneticPr fontId="1"/>
  </si>
  <si>
    <t>勤務することとする。</t>
  </si>
  <si>
    <t>ただし、上記時間内で作成される月間スケジュールに従って</t>
    <phoneticPr fontId="1"/>
  </si>
  <si>
    <t>第3条</t>
    <phoneticPr fontId="1"/>
  </si>
  <si>
    <t>乙の賃金は、</t>
    <phoneticPr fontId="1"/>
  </si>
  <si>
    <t>賃金より控除するのは、所得税とする。また、雇用保険と社会保険</t>
  </si>
  <si>
    <t>については常態として法令に定められた基準に達したときは、加入</t>
    <phoneticPr fontId="1"/>
  </si>
  <si>
    <t>の手続きをとる。</t>
    <phoneticPr fontId="1"/>
  </si>
  <si>
    <t>第6条</t>
    <phoneticPr fontId="1"/>
  </si>
  <si>
    <t>賃金の締切は、毎月10日とし、同月20日に乙の指定する銀行口座</t>
    <phoneticPr fontId="1"/>
  </si>
  <si>
    <t>とする。</t>
  </si>
  <si>
    <t>時間給</t>
    <phoneticPr fontId="1"/>
  </si>
  <si>
    <t>第7条</t>
    <phoneticPr fontId="1"/>
  </si>
  <si>
    <t>契約解約は、この契約期間の途中においても、乙が下記の一に該当</t>
  </si>
  <si>
    <t>② 労働能力が著しく劣り、向上の見込みがないと認めたとき。</t>
    <phoneticPr fontId="1"/>
  </si>
  <si>
    <t>③ 故意または重大な過失により会社に損害を及ぼしたとき。</t>
    <phoneticPr fontId="1"/>
  </si>
  <si>
    <t>④ その他、前項に準ずる理由があるとき。</t>
    <phoneticPr fontId="1"/>
  </si>
  <si>
    <t>横浜市戸塚区戸塚町４７９０番地３</t>
    <rPh sb="0" eb="9">
      <t>ヨコハマシトツカクトツカチョウ</t>
    </rPh>
    <rPh sb="13" eb="15">
      <t>バンチ</t>
    </rPh>
    <phoneticPr fontId="1"/>
  </si>
  <si>
    <t>契約期間は、</t>
    <phoneticPr fontId="1"/>
  </si>
  <si>
    <t>　ＴＹビルテック株式会社を甲、</t>
    <rPh sb="8" eb="12">
      <t>カブシキガイシャ</t>
    </rPh>
    <phoneticPr fontId="1"/>
  </si>
  <si>
    <t>甲 ：</t>
    <rPh sb="0" eb="1">
      <t>コウ</t>
    </rPh>
    <phoneticPr fontId="1"/>
  </si>
  <si>
    <t>乙 ：</t>
    <phoneticPr fontId="1"/>
  </si>
  <si>
    <r>
      <rPr>
        <sz val="14"/>
        <color theme="1"/>
        <rFont val="ＭＳ 明朝"/>
        <family val="1"/>
        <charset val="128"/>
      </rPr>
      <t>代表取締役社長</t>
    </r>
    <r>
      <rPr>
        <sz val="20"/>
        <color theme="1"/>
        <rFont val="ＭＳ 明朝"/>
        <family val="1"/>
        <charset val="128"/>
      </rPr>
      <t>　飯 島 大 貴</t>
    </r>
    <phoneticPr fontId="1"/>
  </si>
  <si>
    <t>ＴＹビルテック株式会社</t>
    <phoneticPr fontId="1"/>
  </si>
  <si>
    <t>については、自動更新とし、3か月の再契約を締結するものとする。</t>
    <phoneticPr fontId="1"/>
  </si>
  <si>
    <t>より3か月とし、その後の契約</t>
    <phoneticPr fontId="1"/>
  </si>
  <si>
    <t>就業場所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</si>
  <si>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</si>
  <si>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</si>
  <si>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</si>
  <si>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</si>
  <si>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⑥</t>
    <phoneticPr fontId="1"/>
  </si>
  <si>
    <t>⑦</t>
    <phoneticPr fontId="1"/>
  </si>
  <si>
    <t>週</t>
    <rPh sb="0" eb="1">
      <t>シュウ</t>
    </rPh>
    <phoneticPr fontId="1"/>
  </si>
  <si>
    <t>日</t>
    <rPh sb="0" eb="1">
      <t>ニチ</t>
    </rPh>
    <phoneticPr fontId="1"/>
  </si>
  <si>
    <t>原則</t>
    <rPh sb="0" eb="2">
      <t>ゲンソク</t>
    </rPh>
    <phoneticPr fontId="1"/>
  </si>
  <si>
    <t>第4条　</t>
    <phoneticPr fontId="1"/>
  </si>
  <si>
    <t>第5条</t>
    <phoneticPr fontId="1"/>
  </si>
  <si>
    <t>時給1</t>
    <phoneticPr fontId="1"/>
  </si>
  <si>
    <t>時給2</t>
  </si>
  <si>
    <t>時給3</t>
  </si>
  <si>
    <t>時給4</t>
  </si>
  <si>
    <t>たなか</t>
    <phoneticPr fontId="1"/>
  </si>
  <si>
    <t>7:00～16:00</t>
    <phoneticPr fontId="1"/>
  </si>
  <si>
    <t>各所日数</t>
    <rPh sb="0" eb="2">
      <t>カクショ</t>
    </rPh>
    <rPh sb="2" eb="4">
      <t>ニッスウ</t>
    </rPh>
    <phoneticPr fontId="1"/>
  </si>
  <si>
    <t>しみず</t>
    <phoneticPr fontId="1"/>
  </si>
  <si>
    <t>①</t>
    <phoneticPr fontId="1"/>
  </si>
  <si>
    <t>10:00～11:00</t>
    <phoneticPr fontId="1"/>
  </si>
  <si>
    <t>12:00～15:00</t>
    <phoneticPr fontId="1"/>
  </si>
  <si>
    <t>16:00～20:00</t>
    <phoneticPr fontId="1"/>
  </si>
  <si>
    <t>10:30～12:00</t>
    <phoneticPr fontId="1"/>
  </si>
  <si>
    <t>10:30～11:30</t>
    <phoneticPr fontId="1"/>
  </si>
  <si>
    <t>11:30～12:30</t>
    <phoneticPr fontId="1"/>
  </si>
  <si>
    <t>7:00～11:00</t>
    <phoneticPr fontId="1"/>
  </si>
  <si>
    <t>7:00～10:00</t>
    <phoneticPr fontId="1"/>
  </si>
  <si>
    <t>12:00～21:00</t>
    <phoneticPr fontId="1"/>
  </si>
  <si>
    <t>13:00～14:00</t>
    <phoneticPr fontId="1"/>
  </si>
  <si>
    <t>日給</t>
    <rPh sb="0" eb="1">
      <t>ニチ</t>
    </rPh>
    <phoneticPr fontId="1"/>
  </si>
  <si>
    <t>かじやま</t>
    <phoneticPr fontId="1"/>
  </si>
  <si>
    <t>23:00～24:30</t>
    <phoneticPr fontId="1"/>
  </si>
  <si>
    <t>かねきや</t>
    <phoneticPr fontId="1"/>
  </si>
  <si>
    <t>甲の管理物件全般</t>
    <rPh sb="0" eb="1">
      <t>コウ</t>
    </rPh>
    <rPh sb="2" eb="8">
      <t>カンリブッケンゼンパン</t>
    </rPh>
    <phoneticPr fontId="1"/>
  </si>
  <si>
    <t>パートタイム労働契約書</t>
    <phoneticPr fontId="1"/>
  </si>
  <si>
    <t>定期清掃業務　</t>
    <rPh sb="0" eb="4">
      <t>テイキセイソウ</t>
    </rPh>
    <phoneticPr fontId="1"/>
  </si>
  <si>
    <t>夜間清掃業務　</t>
    <rPh sb="0" eb="2">
      <t>ヤカン</t>
    </rPh>
    <rPh sb="2" eb="4">
      <t>セイソウ</t>
    </rPh>
    <phoneticPr fontId="1"/>
  </si>
  <si>
    <t>うちお</t>
    <phoneticPr fontId="1"/>
  </si>
  <si>
    <t>を加算する。</t>
    <rPh sb="1" eb="3">
      <t>カサン</t>
    </rPh>
    <phoneticPr fontId="1"/>
  </si>
  <si>
    <t>おしむら</t>
    <phoneticPr fontId="1"/>
  </si>
  <si>
    <t>ふじた</t>
    <phoneticPr fontId="1"/>
  </si>
  <si>
    <t>いしぐろ</t>
    <phoneticPr fontId="1"/>
  </si>
  <si>
    <t>リーダー手当項目</t>
    <rPh sb="4" eb="6">
      <t>テアテ</t>
    </rPh>
    <rPh sb="6" eb="8">
      <t>コウモク</t>
    </rPh>
    <phoneticPr fontId="1"/>
  </si>
  <si>
    <t>　</t>
    <phoneticPr fontId="1"/>
  </si>
  <si>
    <t>尚、リーダー手当として　月</t>
    <rPh sb="0" eb="1">
      <t>ナオ</t>
    </rPh>
    <rPh sb="6" eb="8">
      <t>テアテ</t>
    </rPh>
    <rPh sb="12" eb="13">
      <t>ツキ</t>
    </rPh>
    <phoneticPr fontId="1"/>
  </si>
  <si>
    <t>尚、リーダー手当として  月</t>
    <rPh sb="0" eb="1">
      <t>ナオ</t>
    </rPh>
    <rPh sb="6" eb="8">
      <t>テアテ</t>
    </rPh>
    <rPh sb="13" eb="14">
      <t>ツキ</t>
    </rPh>
    <phoneticPr fontId="1"/>
  </si>
  <si>
    <t>かねきこ</t>
    <phoneticPr fontId="1"/>
  </si>
  <si>
    <t>しばた</t>
    <phoneticPr fontId="1"/>
  </si>
  <si>
    <t>日　給</t>
    <rPh sb="0" eb="1">
      <t>ニチ</t>
    </rPh>
    <phoneticPr fontId="1"/>
  </si>
  <si>
    <t>月</t>
    <rPh sb="0" eb="1">
      <t>ツキ</t>
    </rPh>
    <phoneticPr fontId="1"/>
  </si>
  <si>
    <t>日　給</t>
    <rPh sb="0" eb="1">
      <t>ニチ</t>
    </rPh>
    <rPh sb="2" eb="3">
      <t>キュウ</t>
    </rPh>
    <phoneticPr fontId="1"/>
  </si>
  <si>
    <t>定期清掃</t>
    <rPh sb="0" eb="4">
      <t>テイキセイソウ</t>
    </rPh>
    <phoneticPr fontId="1"/>
  </si>
  <si>
    <t>②～④</t>
    <phoneticPr fontId="1"/>
  </si>
  <si>
    <t>みやい</t>
    <phoneticPr fontId="1"/>
  </si>
  <si>
    <t>よこやま</t>
    <phoneticPr fontId="1"/>
  </si>
  <si>
    <t>わたべ</t>
    <phoneticPr fontId="1"/>
  </si>
  <si>
    <t>いしい</t>
    <phoneticPr fontId="1"/>
  </si>
  <si>
    <t>たけもと</t>
    <phoneticPr fontId="1"/>
  </si>
  <si>
    <t>いわさき</t>
    <phoneticPr fontId="1"/>
  </si>
  <si>
    <t>とみた</t>
    <phoneticPr fontId="1"/>
  </si>
  <si>
    <t>たかの</t>
    <phoneticPr fontId="1"/>
  </si>
  <si>
    <t>さくらざわ</t>
    <phoneticPr fontId="1"/>
  </si>
  <si>
    <t>こばやし</t>
    <phoneticPr fontId="1"/>
  </si>
  <si>
    <t>そうた</t>
    <phoneticPr fontId="1"/>
  </si>
  <si>
    <t>むなかた</t>
    <phoneticPr fontId="1"/>
  </si>
  <si>
    <t>かしま</t>
    <phoneticPr fontId="1"/>
  </si>
  <si>
    <t>いとうし</t>
    <phoneticPr fontId="1"/>
  </si>
  <si>
    <t>しんかい</t>
    <phoneticPr fontId="1"/>
  </si>
  <si>
    <t>とがし</t>
    <phoneticPr fontId="1"/>
  </si>
  <si>
    <t>おぎの</t>
    <phoneticPr fontId="1"/>
  </si>
  <si>
    <t>たけした</t>
    <phoneticPr fontId="1"/>
  </si>
  <si>
    <t>すぎもと</t>
    <phoneticPr fontId="1"/>
  </si>
  <si>
    <t>まつかわ</t>
    <phoneticPr fontId="1"/>
  </si>
  <si>
    <t>たけむら</t>
    <phoneticPr fontId="1"/>
  </si>
  <si>
    <t>もり</t>
    <phoneticPr fontId="1"/>
  </si>
  <si>
    <t>ほんだ</t>
    <phoneticPr fontId="1"/>
  </si>
  <si>
    <t>こうだ</t>
    <phoneticPr fontId="1"/>
  </si>
  <si>
    <t>あさの</t>
    <phoneticPr fontId="1"/>
  </si>
  <si>
    <t>かさい</t>
    <phoneticPr fontId="1"/>
  </si>
  <si>
    <t>たかしま</t>
    <phoneticPr fontId="1"/>
  </si>
  <si>
    <t>はやし</t>
    <phoneticPr fontId="1"/>
  </si>
  <si>
    <t>わたなべ</t>
    <phoneticPr fontId="1"/>
  </si>
  <si>
    <t>きむら</t>
    <phoneticPr fontId="1"/>
  </si>
  <si>
    <t>あべ</t>
    <phoneticPr fontId="1"/>
  </si>
  <si>
    <t>はせがわ</t>
    <phoneticPr fontId="1"/>
  </si>
  <si>
    <t>ひらい</t>
    <phoneticPr fontId="1"/>
  </si>
  <si>
    <t>まつおか</t>
    <phoneticPr fontId="1"/>
  </si>
  <si>
    <t>のがみ</t>
    <phoneticPr fontId="1"/>
  </si>
  <si>
    <t>きのした</t>
    <phoneticPr fontId="1"/>
  </si>
  <si>
    <t>ふゆき</t>
    <phoneticPr fontId="1"/>
  </si>
  <si>
    <t>おおさか</t>
    <phoneticPr fontId="1"/>
  </si>
  <si>
    <t>おおせ</t>
    <phoneticPr fontId="1"/>
  </si>
  <si>
    <t>うちやま</t>
    <phoneticPr fontId="1"/>
  </si>
  <si>
    <t>こみね</t>
    <phoneticPr fontId="1"/>
  </si>
  <si>
    <t>みつはし</t>
    <phoneticPr fontId="1"/>
  </si>
  <si>
    <t>しぶや</t>
    <phoneticPr fontId="1"/>
  </si>
  <si>
    <t>なかやま</t>
    <phoneticPr fontId="1"/>
  </si>
  <si>
    <t>かりべ</t>
    <phoneticPr fontId="1"/>
  </si>
  <si>
    <t>まつした</t>
    <phoneticPr fontId="1"/>
  </si>
  <si>
    <t>こさか</t>
    <phoneticPr fontId="1"/>
  </si>
  <si>
    <t>つるもと</t>
    <phoneticPr fontId="1"/>
  </si>
  <si>
    <t>いとうる</t>
    <phoneticPr fontId="1"/>
  </si>
  <si>
    <t>たけうち</t>
    <phoneticPr fontId="1"/>
  </si>
  <si>
    <t>ふくもと</t>
    <phoneticPr fontId="1"/>
  </si>
  <si>
    <t>かとうれ</t>
    <phoneticPr fontId="1"/>
  </si>
  <si>
    <t>つかだ</t>
    <phoneticPr fontId="1"/>
  </si>
  <si>
    <t>うえさか</t>
    <phoneticPr fontId="1"/>
  </si>
  <si>
    <t>さいとう</t>
    <phoneticPr fontId="1"/>
  </si>
  <si>
    <t>かとうよ</t>
    <phoneticPr fontId="1"/>
  </si>
  <si>
    <t>すとう</t>
    <phoneticPr fontId="1"/>
  </si>
  <si>
    <t>ふかや</t>
    <phoneticPr fontId="1"/>
  </si>
  <si>
    <t>よしだあ</t>
    <phoneticPr fontId="1"/>
  </si>
  <si>
    <t>よしだみ</t>
    <phoneticPr fontId="1"/>
  </si>
  <si>
    <t>さくらいゆ</t>
    <phoneticPr fontId="1"/>
  </si>
  <si>
    <t>おおとも</t>
    <phoneticPr fontId="1"/>
  </si>
  <si>
    <t>さくらいま</t>
    <phoneticPr fontId="1"/>
  </si>
  <si>
    <t>7:00～14:00</t>
    <phoneticPr fontId="1"/>
  </si>
  <si>
    <t>12:00～18:00</t>
    <phoneticPr fontId="1"/>
  </si>
  <si>
    <t>7:00～9:00</t>
    <phoneticPr fontId="1"/>
  </si>
  <si>
    <t>8:00～10:00</t>
    <phoneticPr fontId="1"/>
  </si>
  <si>
    <t>8:30～9:30</t>
    <phoneticPr fontId="1"/>
  </si>
  <si>
    <t>8:00～9:00</t>
    <phoneticPr fontId="1"/>
  </si>
  <si>
    <t>14:00～15:00</t>
    <phoneticPr fontId="1"/>
  </si>
  <si>
    <t>14:30～15:30</t>
    <phoneticPr fontId="1"/>
  </si>
  <si>
    <t>8:30～10:00</t>
    <phoneticPr fontId="1"/>
  </si>
  <si>
    <t>9:00～12:00</t>
    <phoneticPr fontId="1"/>
  </si>
  <si>
    <t>13:00～16:00</t>
    <phoneticPr fontId="1"/>
  </si>
  <si>
    <t>14:00～16:00</t>
    <phoneticPr fontId="1"/>
  </si>
  <si>
    <t>6:30～9:30</t>
    <phoneticPr fontId="1"/>
  </si>
  <si>
    <t>8:00～11:00</t>
    <phoneticPr fontId="1"/>
  </si>
  <si>
    <t>14:00～17:00</t>
    <phoneticPr fontId="1"/>
  </si>
  <si>
    <t>6:30～8:30</t>
    <phoneticPr fontId="1"/>
  </si>
  <si>
    <t>7:00～15:00</t>
    <phoneticPr fontId="1"/>
  </si>
  <si>
    <t>11:00～15:00</t>
    <phoneticPr fontId="1"/>
  </si>
  <si>
    <t>23:00～24:30</t>
  </si>
  <si>
    <t>9:30～15:00</t>
    <phoneticPr fontId="1"/>
  </si>
  <si>
    <t>15:00～21:00</t>
    <phoneticPr fontId="1"/>
  </si>
  <si>
    <t>12:00～20:00</t>
    <phoneticPr fontId="1"/>
  </si>
  <si>
    <t>ワタナベビル</t>
    <phoneticPr fontId="1"/>
  </si>
  <si>
    <t>春芳茶園</t>
    <rPh sb="0" eb="1">
      <t>ハル</t>
    </rPh>
    <rPh sb="2" eb="3">
      <t>チャ</t>
    </rPh>
    <rPh sb="3" eb="4">
      <t>ソノ</t>
    </rPh>
    <phoneticPr fontId="1"/>
  </si>
  <si>
    <t>東横本社ビル</t>
    <rPh sb="0" eb="2">
      <t>トウヨコ</t>
    </rPh>
    <rPh sb="2" eb="4">
      <t>ホンシャ</t>
    </rPh>
    <phoneticPr fontId="1"/>
  </si>
  <si>
    <t xml:space="preserve">東横フェスタ2 </t>
    <rPh sb="0" eb="2">
      <t>トウヨコ</t>
    </rPh>
    <phoneticPr fontId="1"/>
  </si>
  <si>
    <t>また、業務の都合により勤務日数および勤務場所を増やすこともある。</t>
    <rPh sb="18" eb="20">
      <t>キンム</t>
    </rPh>
    <rPh sb="20" eb="22">
      <t>バショ</t>
    </rPh>
    <phoneticPr fontId="1"/>
  </si>
  <si>
    <t>回程度</t>
    <rPh sb="0" eb="1">
      <t>カイ</t>
    </rPh>
    <rPh sb="1" eb="3">
      <t>テイド</t>
    </rPh>
    <phoneticPr fontId="1"/>
  </si>
  <si>
    <t>また、天候、施設都合、元請先の要請等により、作業の中止または</t>
    <rPh sb="3" eb="5">
      <t>テンコウ</t>
    </rPh>
    <rPh sb="6" eb="10">
      <t>シセツツゴウ</t>
    </rPh>
    <rPh sb="11" eb="13">
      <t>モトウケ</t>
    </rPh>
    <rPh sb="13" eb="14">
      <t>サキ</t>
    </rPh>
    <rPh sb="15" eb="17">
      <t>ヨウセイ</t>
    </rPh>
    <rPh sb="17" eb="18">
      <t>トウ</t>
    </rPh>
    <rPh sb="22" eb="24">
      <t>サギョウ</t>
    </rPh>
    <rPh sb="25" eb="27">
      <t>チュウシ</t>
    </rPh>
    <phoneticPr fontId="1"/>
  </si>
  <si>
    <t>日程の変更が生じる場合がある。</t>
  </si>
  <si>
    <t>作業予定は、会社が定める作業表による。ただし、業務都合により</t>
    <rPh sb="0" eb="4">
      <t>サギョウヨテイ</t>
    </rPh>
    <rPh sb="6" eb="8">
      <t>カイシャ</t>
    </rPh>
    <rPh sb="9" eb="10">
      <t>サダ</t>
    </rPh>
    <rPh sb="12" eb="15">
      <t>サギョウヒョウ</t>
    </rPh>
    <phoneticPr fontId="1"/>
  </si>
  <si>
    <t>増減する場合がある。</t>
    <phoneticPr fontId="1"/>
  </si>
  <si>
    <t>夜間清掃は、上記時間内で作成される月間スケジュールに従って</t>
    <rPh sb="0" eb="4">
      <t>ヤカンセイソウ</t>
    </rPh>
    <phoneticPr fontId="1"/>
  </si>
  <si>
    <t>都合により増減する場合がある。</t>
    <phoneticPr fontId="1"/>
  </si>
  <si>
    <t>定期清掃の作業予定は、会社が定める作業表による。ただし、業務の</t>
    <rPh sb="0" eb="4">
      <t>テイキセイソウ</t>
    </rPh>
    <rPh sb="5" eb="9">
      <t>サギョウヨテイ</t>
    </rPh>
    <rPh sb="11" eb="13">
      <t>カイシャ</t>
    </rPh>
    <rPh sb="14" eb="15">
      <t>サダ</t>
    </rPh>
    <rPh sb="17" eb="20">
      <t>サギョウヒョウ</t>
    </rPh>
    <rPh sb="28" eb="30">
      <t>ギョウム</t>
    </rPh>
    <phoneticPr fontId="1"/>
  </si>
  <si>
    <t>(変更の範囲)会社が指定する場所</t>
    <rPh sb="1" eb="3">
      <t>ヘンコウ</t>
    </rPh>
    <rPh sb="4" eb="6">
      <t>ハンイ</t>
    </rPh>
    <rPh sb="7" eb="9">
      <t>カイシャ</t>
    </rPh>
    <rPh sb="10" eb="12">
      <t>シテイ</t>
    </rPh>
    <rPh sb="14" eb="16">
      <t>バショ</t>
    </rPh>
    <phoneticPr fontId="1"/>
  </si>
  <si>
    <t>(変更の範囲)なし</t>
    <rPh sb="1" eb="3">
      <t>ヘンコウ</t>
    </rPh>
    <rPh sb="4" eb="6">
      <t>ハンイ</t>
    </rPh>
    <phoneticPr fontId="1"/>
  </si>
  <si>
    <t>雇用管理の改善等に関する事項に係る相談窓口</t>
    <rPh sb="0" eb="4">
      <t>コヨウカンリ</t>
    </rPh>
    <rPh sb="5" eb="8">
      <t>カイゼントウ</t>
    </rPh>
    <rPh sb="9" eb="10">
      <t>カン</t>
    </rPh>
    <rPh sb="12" eb="14">
      <t>ジコウ</t>
    </rPh>
    <rPh sb="15" eb="16">
      <t>カカワ</t>
    </rPh>
    <rPh sb="17" eb="21">
      <t>ソウダンマドグチ</t>
    </rPh>
    <phoneticPr fontId="1"/>
  </si>
  <si>
    <t>勤務することとする。休憩時間（1時間）は勤務時間に含めない。</t>
    <rPh sb="10" eb="14">
      <t>キュウケイジカン</t>
    </rPh>
    <rPh sb="16" eb="18">
      <t>ジカン</t>
    </rPh>
    <rPh sb="20" eb="24">
      <t>キンムジカン</t>
    </rPh>
    <rPh sb="25" eb="26">
      <t>フク</t>
    </rPh>
    <phoneticPr fontId="1"/>
  </si>
  <si>
    <t>勤務することとする。</t>
    <phoneticPr fontId="1"/>
  </si>
  <si>
    <t>東横フェスタ2　契約保留</t>
    <rPh sb="0" eb="2">
      <t>トウヨコ</t>
    </rPh>
    <rPh sb="8" eb="12">
      <t>ケイヤクホリュウ</t>
    </rPh>
    <phoneticPr fontId="1"/>
  </si>
  <si>
    <t>乙の勤務は次の通りとする。</t>
    <rPh sb="2" eb="4">
      <t>キンム</t>
    </rPh>
    <phoneticPr fontId="1"/>
  </si>
  <si>
    <t>ビルマネジメント部部長　大橋 喜智　045-864-1611</t>
    <rPh sb="8" eb="9">
      <t>ブ</t>
    </rPh>
    <rPh sb="9" eb="11">
      <t>ブチョウ</t>
    </rPh>
    <rPh sb="12" eb="14">
      <t>オオハシ</t>
    </rPh>
    <rPh sb="15" eb="16">
      <t>キ</t>
    </rPh>
    <rPh sb="16" eb="17">
      <t>サトシ</t>
    </rPh>
    <phoneticPr fontId="1"/>
  </si>
  <si>
    <t>ふくだあ</t>
    <phoneticPr fontId="1"/>
  </si>
  <si>
    <t>ふくだえ</t>
    <phoneticPr fontId="1"/>
  </si>
  <si>
    <t>たかはしか</t>
    <phoneticPr fontId="1"/>
  </si>
  <si>
    <t>たかはしひ</t>
    <phoneticPr fontId="1"/>
  </si>
  <si>
    <t>いとうまな</t>
    <phoneticPr fontId="1"/>
  </si>
  <si>
    <t>いとうまさ</t>
    <phoneticPr fontId="1"/>
  </si>
  <si>
    <t>いとうまみ</t>
    <phoneticPr fontId="1"/>
  </si>
  <si>
    <t>ssa-014</t>
    <phoneticPr fontId="1"/>
  </si>
  <si>
    <t>鈴木　久美子</t>
    <rPh sb="0" eb="2">
      <t>スズキ</t>
    </rPh>
    <rPh sb="3" eb="6">
      <t>クミコ</t>
    </rPh>
    <phoneticPr fontId="1"/>
  </si>
  <si>
    <t>横浜市戸塚区汲沢４丁目６番３</t>
    <rPh sb="0" eb="3">
      <t>ヨコハマシ</t>
    </rPh>
    <rPh sb="3" eb="6">
      <t>トツカク</t>
    </rPh>
    <rPh sb="6" eb="8">
      <t>グミサワ</t>
    </rPh>
    <rPh sb="9" eb="11">
      <t>チョウメ</t>
    </rPh>
    <rPh sb="12" eb="13">
      <t>バン</t>
    </rPh>
    <phoneticPr fontId="1"/>
  </si>
  <si>
    <t>すずき</t>
    <phoneticPr fontId="1"/>
  </si>
  <si>
    <t>7:00～10:30</t>
    <phoneticPr fontId="1"/>
  </si>
  <si>
    <t>7:00～9:30</t>
    <phoneticPr fontId="1"/>
  </si>
  <si>
    <t>9:30～10:30</t>
    <phoneticPr fontId="1"/>
  </si>
  <si>
    <t>13:00～15:00</t>
    <phoneticPr fontId="1"/>
  </si>
  <si>
    <t>10:30～12:30</t>
    <phoneticPr fontId="1"/>
  </si>
  <si>
    <t>東戸塚NSビル(祝日)</t>
    <rPh sb="0" eb="3">
      <t>ヒガシトツカ</t>
    </rPh>
    <rPh sb="8" eb="10">
      <t>シュクジツ</t>
    </rPh>
    <phoneticPr fontId="1"/>
  </si>
  <si>
    <t>東戸塚NSビル(日曜)</t>
    <rPh sb="0" eb="3">
      <t>ヒガシトツカ</t>
    </rPh>
    <rPh sb="8" eb="10">
      <t>ニチヨウ</t>
    </rPh>
    <phoneticPr fontId="1"/>
  </si>
  <si>
    <t>シンコー東戸塚ビル</t>
    <phoneticPr fontId="1"/>
  </si>
  <si>
    <t>東横湘南台ビル</t>
    <rPh sb="2" eb="5">
      <t>ショウナンダイ</t>
    </rPh>
    <phoneticPr fontId="1"/>
  </si>
  <si>
    <t>横信戸塚支店</t>
    <rPh sb="4" eb="6">
      <t>シテン</t>
    </rPh>
    <phoneticPr fontId="1"/>
  </si>
  <si>
    <t>東横本社ビル</t>
    <phoneticPr fontId="1"/>
  </si>
  <si>
    <t>横信センター南支店</t>
    <rPh sb="7" eb="9">
      <t>シテン</t>
    </rPh>
    <phoneticPr fontId="1"/>
  </si>
  <si>
    <t>オセアン矢沢ビル</t>
    <phoneticPr fontId="1"/>
  </si>
  <si>
    <t>戸塚法人会館</t>
    <rPh sb="0" eb="2">
      <t>トツカ</t>
    </rPh>
    <rPh sb="2" eb="4">
      <t>ホウジン</t>
    </rPh>
    <rPh sb="4" eb="6">
      <t>カイカン</t>
    </rPh>
    <phoneticPr fontId="1"/>
  </si>
  <si>
    <t>ワイエス建築事務所</t>
    <rPh sb="4" eb="6">
      <t>ケンチク</t>
    </rPh>
    <rPh sb="6" eb="9">
      <t>ジムショ</t>
    </rPh>
    <phoneticPr fontId="1"/>
  </si>
  <si>
    <t>横浜市戸塚区戸塚町３６８０番地２ライオンズマンション戸塚第６－３０２号</t>
    <rPh sb="34" eb="35">
      <t>ゴウ</t>
    </rPh>
    <phoneticPr fontId="1"/>
  </si>
  <si>
    <t>f2d-016</t>
    <phoneticPr fontId="1"/>
  </si>
  <si>
    <t>佐藤　静子</t>
    <rPh sb="0" eb="2">
      <t>サトウ</t>
    </rPh>
    <rPh sb="3" eb="5">
      <t>シズコ</t>
    </rPh>
    <phoneticPr fontId="1"/>
  </si>
  <si>
    <t>横浜市戸塚区柏尾町７５７番地　柏陽台アパート１３－３０１号</t>
  </si>
  <si>
    <t>244-0812</t>
    <phoneticPr fontId="1"/>
  </si>
  <si>
    <t>244-0003</t>
    <phoneticPr fontId="1"/>
  </si>
  <si>
    <t>さとうし</t>
    <phoneticPr fontId="1"/>
  </si>
  <si>
    <t>さとうは</t>
    <phoneticPr fontId="1"/>
  </si>
  <si>
    <t>15:00～20:00</t>
    <phoneticPr fontId="1"/>
  </si>
  <si>
    <t>245-0018</t>
    <phoneticPr fontId="1"/>
  </si>
  <si>
    <t>田中　利恵子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</si>
</sst>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¥&quot;#,##0;&quot;¥&quot;\-#,##0"/>
    <numFmt numFmtId="176" formatCode="&quot;S&quot;0"/>
    <numFmt numFmtId="177" formatCode="0.0&quot;H&quot;"/>
    <numFmt numFmtId="178" formatCode="[$-F400]h:mm:ss\ AM/PM"/>
    <numFmt numFmtId="179" formatCode="#,##0&quot;円&quot;"/>
    <numFmt numFmtId="180" formatCode="[$-F800]dddd\,\ mmmm\ dd\,\ yyyy"/>
    <numFmt numFmtId="181" formatCode="&quot;月&quot;0"/>
  </numFmts>
  <fonts count="2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 tint="-0.34998626667073579"/>
      <name val="游ゴシック"/>
      <family val="3"/>
      <charset val="128"/>
      <scheme val="minor"/>
    </font>
    <font>
      <sz val="11"/>
      <color theme="0" tint="-0.34998626667073579"/>
      <name val="游ゴシック"/>
      <family val="2"/>
      <charset val="128"/>
      <scheme val="minor"/>
    </font>
    <font>
      <sz val="14"/>
      <color theme="1"/>
      <name val="ＭＳ 明朝"/>
      <family val="1"/>
      <charset val="128"/>
    </font>
    <font>
      <sz val="16"/>
      <color theme="1"/>
      <name val="ＭＳ 明朝"/>
      <family val="1"/>
      <charset val="128"/>
    </font>
    <font>
      <sz val="20"/>
      <color theme="1"/>
      <name val="ＭＳ 明朝"/>
      <family val="1"/>
      <charset val="128"/>
    </font>
    <font>
      <sz val="11"/>
      <color theme="1"/>
      <name val="Segoe UI Symbol"/>
      <family val="2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明朝"/>
      <family val="1"/>
      <charset val="128"/>
    </font>
    <font>
      <sz val="14"/>
      <color theme="0" tint="-0.249977111117893"/>
      <name val="ＭＳ 明朝"/>
      <family val="1"/>
      <charset val="128"/>
    </font>
    <font>
      <sz val="11"/>
      <color theme="0" tint="-0.249977111117893"/>
      <name val="ＭＳ 明朝"/>
      <family val="1"/>
      <charset val="128"/>
    </font>
    <font>
      <sz val="11"/>
      <name val="ＭＳ 明朝"/>
      <family val="1"/>
      <charset val="128"/>
    </font>
    <font>
      <sz val="14"/>
      <name val="ＭＳ 明朝"/>
      <family val="1"/>
      <charset val="128"/>
    </font>
    <font>
      <sz val="14"/>
      <color theme="0" tint="-0.34998626667073579"/>
      <name val="ＭＳ 明朝"/>
      <family val="1"/>
      <charset val="128"/>
    </font>
    <font>
      <sz val="12"/>
      <color theme="1"/>
      <name val="ＭＳ 明朝"/>
      <family val="1"/>
      <charset val="128"/>
    </font>
    <font>
      <sz val="11"/>
      <color theme="1"/>
      <name val="游ゴシック"/>
      <family val="3"/>
      <charset val="128"/>
      <scheme val="minor"/>
    </font>
    <font>
      <sz val="10"/>
      <color theme="1"/>
      <name val="ＭＳ 明朝"/>
      <family val="1"/>
      <charset val="128"/>
    </font>
    <font>
      <sz val="14"/>
      <color theme="0"/>
      <name val="ＭＳ 明朝"/>
      <family val="1"/>
      <charset val="128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9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6">
    <xf numFmtId="0" fontId="0" fillId="0" borderId="0" xfId="0">
      <alignment vertical="center"/>
    </xf>
    <xf numFmtId="14" fontId="0" fillId="0" borderId="0" xfId="0" applyNumberFormat="1">
      <alignment vertical="center"/>
    </xf>
    <xf numFmtId="5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7" fontId="0" fillId="0" borderId="0" xfId="0" applyNumberFormat="1" applyAlignment="1">
      <alignment horizontal="left" vertical="center"/>
    </xf>
    <xf numFmtId="0" fontId="0" fillId="0" borderId="0" xfId="0" applyAlignment="1">
      <alignment vertical="center" shrinkToFit="1"/>
    </xf>
    <xf numFmtId="176" fontId="0" fillId="0" borderId="0" xfId="0" applyNumberFormat="1" applyAlignment="1">
      <alignment horizontal="right" vertical="center"/>
    </xf>
    <xf numFmtId="14" fontId="0" fillId="2" borderId="0" xfId="0" applyNumberFormat="1" applyFill="1">
      <alignment vertical="center"/>
    </xf>
    <xf numFmtId="0" fontId="0" fillId="2" borderId="0" xfId="0" applyFill="1">
      <alignment vertical="center"/>
    </xf>
    <xf numFmtId="177" fontId="0" fillId="0" borderId="0" xfId="0" applyNumberFormat="1" applyAlignment="1">
      <alignment horizontal="right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 indent="15"/>
    </xf>
    <xf numFmtId="0" fontId="5" fillId="0" borderId="0" xfId="0" applyFont="1">
      <alignment vertical="center"/>
    </xf>
    <xf numFmtId="0" fontId="5" fillId="0" borderId="0" xfId="0" applyFont="1" applyAlignment="1">
      <alignment horizontal="left" vertical="center"/>
    </xf>
    <xf numFmtId="32" fontId="4" fillId="0" borderId="0" xfId="0" applyNumberFormat="1" applyFont="1" applyAlignment="1">
      <alignment horizontal="center" vertical="center"/>
    </xf>
    <xf numFmtId="176" fontId="8" fillId="0" borderId="0" xfId="0" applyNumberFormat="1" applyFont="1">
      <alignment vertical="center"/>
    </xf>
    <xf numFmtId="0" fontId="0" fillId="4" borderId="0" xfId="0" applyFill="1" applyAlignment="1">
      <alignment vertical="center" shrinkToFit="1"/>
    </xf>
    <xf numFmtId="181" fontId="0" fillId="0" borderId="0" xfId="0" applyNumberFormat="1">
      <alignment vertical="center"/>
    </xf>
    <xf numFmtId="0" fontId="0" fillId="2" borderId="6" xfId="0" applyFill="1" applyBorder="1" applyAlignment="1">
      <alignment vertical="center" shrinkToFit="1"/>
    </xf>
    <xf numFmtId="0" fontId="0" fillId="0" borderId="6" xfId="0" applyBorder="1" applyAlignment="1">
      <alignment vertical="center" shrinkToFit="1"/>
    </xf>
    <xf numFmtId="176" fontId="0" fillId="0" borderId="6" xfId="0" applyNumberFormat="1" applyBorder="1" applyAlignment="1">
      <alignment vertical="center" shrinkToFit="1"/>
    </xf>
    <xf numFmtId="177" fontId="0" fillId="0" borderId="6" xfId="0" applyNumberFormat="1" applyBorder="1" applyAlignment="1">
      <alignment vertical="center" shrinkToFit="1"/>
    </xf>
    <xf numFmtId="177" fontId="0" fillId="0" borderId="6" xfId="0" applyNumberFormat="1" applyBorder="1" applyAlignment="1">
      <alignment horizontal="right" vertical="center" shrinkToFit="1"/>
    </xf>
    <xf numFmtId="14" fontId="0" fillId="0" borderId="6" xfId="0" applyNumberFormat="1" applyBorder="1" applyAlignment="1">
      <alignment vertical="center" shrinkToFit="1"/>
    </xf>
    <xf numFmtId="14" fontId="0" fillId="2" borderId="6" xfId="0" applyNumberFormat="1" applyFill="1" applyBorder="1" applyAlignment="1">
      <alignment vertical="center" shrinkToFit="1"/>
    </xf>
    <xf numFmtId="14" fontId="0" fillId="2" borderId="1" xfId="0" applyNumberFormat="1" applyFill="1" applyBorder="1" applyAlignment="1">
      <alignment vertical="center" shrinkToFit="1"/>
    </xf>
    <xf numFmtId="0" fontId="8" fillId="0" borderId="3" xfId="0" applyFon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3" borderId="7" xfId="0" applyFill="1" applyBorder="1" applyAlignment="1">
      <alignment vertical="center" shrinkToFit="1"/>
    </xf>
    <xf numFmtId="0" fontId="0" fillId="3" borderId="0" xfId="0" applyFill="1">
      <alignment vertical="center"/>
    </xf>
    <xf numFmtId="0" fontId="0" fillId="3" borderId="6" xfId="0" applyFill="1" applyBorder="1">
      <alignment vertical="center"/>
    </xf>
    <xf numFmtId="0" fontId="7" fillId="3" borderId="0" xfId="0" applyFont="1" applyFill="1">
      <alignment vertical="center"/>
    </xf>
    <xf numFmtId="176" fontId="8" fillId="6" borderId="0" xfId="0" applyNumberFormat="1" applyFont="1" applyFill="1">
      <alignment vertical="center"/>
    </xf>
    <xf numFmtId="0" fontId="0" fillId="6" borderId="0" xfId="0" applyFill="1">
      <alignment vertical="center"/>
    </xf>
    <xf numFmtId="176" fontId="0" fillId="6" borderId="0" xfId="0" applyNumberFormat="1" applyFill="1">
      <alignment vertical="center"/>
    </xf>
    <xf numFmtId="177" fontId="0" fillId="6" borderId="0" xfId="0" applyNumberFormat="1" applyFill="1">
      <alignment vertical="center"/>
    </xf>
    <xf numFmtId="177" fontId="0" fillId="6" borderId="0" xfId="0" applyNumberFormat="1" applyFill="1" applyAlignment="1">
      <alignment horizontal="right" vertical="center"/>
    </xf>
    <xf numFmtId="5" fontId="0" fillId="6" borderId="0" xfId="0" applyNumberFormat="1" applyFill="1">
      <alignment vertical="center"/>
    </xf>
    <xf numFmtId="14" fontId="0" fillId="6" borderId="0" xfId="0" applyNumberFormat="1" applyFill="1">
      <alignment vertical="center"/>
    </xf>
    <xf numFmtId="0" fontId="0" fillId="7" borderId="0" xfId="0" applyFill="1">
      <alignment vertical="center"/>
    </xf>
    <xf numFmtId="176" fontId="8" fillId="0" borderId="6" xfId="0" applyNumberFormat="1" applyFont="1" applyBorder="1" applyAlignment="1">
      <alignment vertical="center" shrinkToFit="1"/>
    </xf>
    <xf numFmtId="0" fontId="17" fillId="0" borderId="0" xfId="0" applyFont="1">
      <alignment vertical="center"/>
    </xf>
    <xf numFmtId="0" fontId="0" fillId="8" borderId="0" xfId="0" applyFill="1">
      <alignment vertical="center"/>
    </xf>
    <xf numFmtId="0" fontId="3" fillId="0" borderId="2" xfId="0" applyFont="1" applyBorder="1">
      <alignment vertical="center"/>
    </xf>
    <xf numFmtId="0" fontId="3" fillId="0" borderId="3" xfId="0" applyFont="1" applyBorder="1">
      <alignment vertical="center"/>
    </xf>
    <xf numFmtId="0" fontId="3" fillId="0" borderId="5" xfId="0" applyFont="1" applyBorder="1" applyAlignment="1">
      <alignment vertical="center" shrinkToFit="1"/>
    </xf>
    <xf numFmtId="49" fontId="2" fillId="0" borderId="6" xfId="0" applyNumberFormat="1" applyFont="1" applyBorder="1" applyAlignment="1">
      <alignment vertical="center" shrinkToFit="1"/>
    </xf>
    <xf numFmtId="0" fontId="3" fillId="0" borderId="0" xfId="0" applyFont="1">
      <alignment vertical="center"/>
    </xf>
    <xf numFmtId="49" fontId="2" fillId="0" borderId="0" xfId="0" applyNumberFormat="1" applyFont="1">
      <alignment vertical="center"/>
    </xf>
    <xf numFmtId="176" fontId="8" fillId="0" borderId="0" xfId="0" applyNumberFormat="1" applyFont="1" applyAlignment="1">
      <alignment horizontal="right"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10" fillId="0" borderId="0" xfId="0" applyFont="1">
      <alignment vertical="center"/>
    </xf>
    <xf numFmtId="32" fontId="4" fillId="0" borderId="0" xfId="0" applyNumberFormat="1" applyFont="1" applyAlignment="1">
      <alignment horizontal="left" vertical="center"/>
    </xf>
    <xf numFmtId="178" fontId="4" fillId="0" borderId="0" xfId="0" applyNumberFormat="1" applyFont="1" applyAlignment="1">
      <alignment horizontal="center" vertical="center"/>
    </xf>
    <xf numFmtId="179" fontId="4" fillId="0" borderId="0" xfId="0" applyNumberFormat="1" applyFont="1" applyAlignment="1">
      <alignment horizontal="center" vertical="center"/>
    </xf>
    <xf numFmtId="0" fontId="18" fillId="0" borderId="0" xfId="0" applyFont="1">
      <alignment vertical="center"/>
    </xf>
    <xf numFmtId="0" fontId="4" fillId="0" borderId="0" xfId="0" applyFont="1" applyAlignment="1">
      <alignment horizontal="left" vertical="center" indent="5"/>
    </xf>
    <xf numFmtId="0" fontId="4" fillId="0" borderId="0" xfId="0" applyFont="1" applyAlignment="1">
      <alignment horizontal="justify"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32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0" fillId="11" borderId="0" xfId="0" applyFill="1">
      <alignment vertical="center"/>
    </xf>
    <xf numFmtId="31" fontId="4" fillId="0" borderId="0" xfId="0" applyNumberFormat="1" applyFont="1">
      <alignment vertical="center"/>
    </xf>
    <xf numFmtId="0" fontId="4" fillId="5" borderId="2" xfId="0" applyFont="1" applyFill="1" applyBorder="1">
      <alignment vertical="center"/>
    </xf>
    <xf numFmtId="0" fontId="4" fillId="5" borderId="3" xfId="0" applyFont="1" applyFill="1" applyBorder="1">
      <alignment vertical="center"/>
    </xf>
    <xf numFmtId="0" fontId="4" fillId="5" borderId="4" xfId="0" applyFont="1" applyFill="1" applyBorder="1">
      <alignment vertical="center"/>
    </xf>
    <xf numFmtId="0" fontId="19" fillId="0" borderId="0" xfId="0" applyFont="1">
      <alignment vertical="center"/>
    </xf>
    <xf numFmtId="179" fontId="4" fillId="0" borderId="0" xfId="0" applyNumberFormat="1" applyFont="1" applyAlignment="1">
      <alignment horizontal="center" vertical="center"/>
    </xf>
    <xf numFmtId="180" fontId="4" fillId="5" borderId="2" xfId="0" applyNumberFormat="1" applyFont="1" applyFill="1" applyBorder="1" applyAlignment="1">
      <alignment horizontal="center" vertical="center"/>
    </xf>
    <xf numFmtId="180" fontId="4" fillId="5" borderId="3" xfId="0" applyNumberFormat="1" applyFont="1" applyFill="1" applyBorder="1" applyAlignment="1">
      <alignment horizontal="center" vertical="center"/>
    </xf>
    <xf numFmtId="180" fontId="4" fillId="5" borderId="4" xfId="0" applyNumberFormat="1" applyFont="1" applyFill="1" applyBorder="1" applyAlignment="1">
      <alignment horizontal="center" vertical="center"/>
    </xf>
    <xf numFmtId="31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left" vertical="center" shrinkToFi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66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77</xdr:col>
          <xdr:colOff>38100</xdr:colOff>
          <xdr:row>3</xdr:row>
          <xdr:rowOff>144780</xdr:rowOff>
        </xdr:from>
        <xdr:to>
          <xdr:col>84</xdr:col>
          <xdr:colOff>76200</xdr:colOff>
          <xdr:row>5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印　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</xdr:col>
          <xdr:colOff>30480</xdr:colOff>
          <xdr:row>6</xdr:row>
          <xdr:rowOff>220980</xdr:rowOff>
        </xdr:from>
        <xdr:to>
          <xdr:col>85</xdr:col>
          <xdr:colOff>83820</xdr:colOff>
          <xdr:row>8</xdr:row>
          <xdr:rowOff>236220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xdr:twoCellAnchor>
    <xdr:from>
      <xdr:col>59</xdr:col>
      <xdr:colOff>129540</xdr:colOff>
      <xdr:row>18</xdr:row>
      <xdr:rowOff>15240</xdr:rowOff>
    </xdr:from>
    <xdr:to>
      <xdr:col>65</xdr:col>
      <xdr:colOff>7620</xdr:colOff>
      <xdr:row>21</xdr:row>
      <xdr:rowOff>185445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F7159457-4ED5-440F-9EC8-7E95CF2B17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73880" y="14097000"/>
          <a:ext cx="1066800" cy="10617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59</xdr:col>
      <xdr:colOff>137160</xdr:colOff>
      <xdr:row>24</xdr:row>
      <xdr:rowOff>38100</xdr:rowOff>
    </xdr:from>
    <xdr:to>
      <xdr:col>65</xdr:col>
      <xdr:colOff>30480</xdr:colOff>
      <xdr:row>27</xdr:row>
      <xdr:rowOff>208305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677980F2-66F3-472B-A5C7-84C1B74BAA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6720" y="14119860"/>
          <a:ext cx="1074420" cy="10617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77</xdr:col>
          <xdr:colOff>53340</xdr:colOff>
          <xdr:row>3</xdr:row>
          <xdr:rowOff>213360</xdr:rowOff>
        </xdr:from>
        <xdr:to>
          <xdr:col>84</xdr:col>
          <xdr:colOff>91440</xdr:colOff>
          <xdr:row>5</xdr:row>
          <xdr:rowOff>182880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印　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</xdr:col>
          <xdr:colOff>68580</xdr:colOff>
          <xdr:row>6</xdr:row>
          <xdr:rowOff>198120</xdr:rowOff>
        </xdr:from>
        <xdr:to>
          <xdr:col>85</xdr:col>
          <xdr:colOff>121920</xdr:colOff>
          <xdr:row>8</xdr:row>
          <xdr:rowOff>213360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15240</xdr:colOff>
      <xdr:row>18</xdr:row>
      <xdr:rowOff>38100</xdr:rowOff>
    </xdr:from>
    <xdr:to>
      <xdr:col>65</xdr:col>
      <xdr:colOff>91440</xdr:colOff>
      <xdr:row>21</xdr:row>
      <xdr:rowOff>208305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CD8F164D-1FF8-4920-925C-ABD9635446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75760" y="13365480"/>
          <a:ext cx="1066800" cy="10617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77</xdr:col>
          <xdr:colOff>60960</xdr:colOff>
          <xdr:row>4</xdr:row>
          <xdr:rowOff>30480</xdr:rowOff>
        </xdr:from>
        <xdr:to>
          <xdr:col>84</xdr:col>
          <xdr:colOff>99060</xdr:colOff>
          <xdr:row>6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印　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</xdr:col>
          <xdr:colOff>121920</xdr:colOff>
          <xdr:row>7</xdr:row>
          <xdr:rowOff>91440</xdr:rowOff>
        </xdr:from>
        <xdr:to>
          <xdr:col>84</xdr:col>
          <xdr:colOff>114300</xdr:colOff>
          <xdr:row>9</xdr:row>
          <xdr:rowOff>22860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59</xdr:col>
      <xdr:colOff>15240</xdr:colOff>
      <xdr:row>18</xdr:row>
      <xdr:rowOff>38100</xdr:rowOff>
    </xdr:from>
    <xdr:to>
      <xdr:col>64</xdr:col>
      <xdr:colOff>91440</xdr:colOff>
      <xdr:row>21</xdr:row>
      <xdr:rowOff>208305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5EC44056-F69A-431A-ABD2-082B7E86B4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75760" y="14371320"/>
          <a:ext cx="1066800" cy="10617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77</xdr:col>
          <xdr:colOff>38100</xdr:colOff>
          <xdr:row>3</xdr:row>
          <xdr:rowOff>53340</xdr:rowOff>
        </xdr:from>
        <xdr:to>
          <xdr:col>84</xdr:col>
          <xdr:colOff>76200</xdr:colOff>
          <xdr:row>5</xdr:row>
          <xdr:rowOff>22860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4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印　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</xdr:col>
          <xdr:colOff>83820</xdr:colOff>
          <xdr:row>6</xdr:row>
          <xdr:rowOff>83820</xdr:rowOff>
        </xdr:from>
        <xdr:to>
          <xdr:col>84</xdr:col>
          <xdr:colOff>76200</xdr:colOff>
          <xdr:row>8</xdr:row>
          <xdr:rowOff>15240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4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77</xdr:col>
          <xdr:colOff>7620</xdr:colOff>
          <xdr:row>3</xdr:row>
          <xdr:rowOff>30480</xdr:rowOff>
        </xdr:from>
        <xdr:to>
          <xdr:col>84</xdr:col>
          <xdr:colOff>45720</xdr:colOff>
          <xdr:row>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印　刷</a:t>
              </a:r>
            </a:p>
          </xdr:txBody>
        </xdr:sp>
        <xdr:clientData fPrintsWithSheet="0"/>
      </xdr:twoCellAnchor>
    </mc:Choice>
    <mc:Fallback/>
  </mc:AlternateContent>
  <xdr:twoCellAnchor>
    <xdr:from>
      <xdr:col>59</xdr:col>
      <xdr:colOff>15240</xdr:colOff>
      <xdr:row>18</xdr:row>
      <xdr:rowOff>60960</xdr:rowOff>
    </xdr:from>
    <xdr:to>
      <xdr:col>64</xdr:col>
      <xdr:colOff>91440</xdr:colOff>
      <xdr:row>21</xdr:row>
      <xdr:rowOff>231165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0D913D1-9805-4CD2-94C0-5733D0A3D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21480" y="14142720"/>
          <a:ext cx="1066800" cy="10617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77</xdr:col>
          <xdr:colOff>38100</xdr:colOff>
          <xdr:row>6</xdr:row>
          <xdr:rowOff>220980</xdr:rowOff>
        </xdr:from>
        <xdr:to>
          <xdr:col>84</xdr:col>
          <xdr:colOff>30480</xdr:colOff>
          <xdr:row>8</xdr:row>
          <xdr:rowOff>152400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77</xdr:col>
          <xdr:colOff>15240</xdr:colOff>
          <xdr:row>3</xdr:row>
          <xdr:rowOff>45720</xdr:rowOff>
        </xdr:from>
        <xdr:to>
          <xdr:col>84</xdr:col>
          <xdr:colOff>53340</xdr:colOff>
          <xdr:row>5</xdr:row>
          <xdr:rowOff>15240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印　刷</a:t>
              </a:r>
            </a:p>
          </xdr:txBody>
        </xdr:sp>
        <xdr:clientData fPrintsWithSheet="0"/>
      </xdr:twoCellAnchor>
    </mc:Choice>
    <mc:Fallback/>
  </mc:AlternateContent>
  <xdr:twoCellAnchor>
    <xdr:from>
      <xdr:col>58</xdr:col>
      <xdr:colOff>144780</xdr:colOff>
      <xdr:row>21</xdr:row>
      <xdr:rowOff>45720</xdr:rowOff>
    </xdr:from>
    <xdr:to>
      <xdr:col>64</xdr:col>
      <xdr:colOff>38100</xdr:colOff>
      <xdr:row>24</xdr:row>
      <xdr:rowOff>215925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A45775F-6F7E-46D6-9461-4CE2ED38C3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21480" y="14881860"/>
          <a:ext cx="1074420" cy="10617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77</xdr:col>
          <xdr:colOff>30480</xdr:colOff>
          <xdr:row>6</xdr:row>
          <xdr:rowOff>160020</xdr:rowOff>
        </xdr:from>
        <xdr:to>
          <xdr:col>84</xdr:col>
          <xdr:colOff>22860</xdr:colOff>
          <xdr:row>8</xdr:row>
          <xdr:rowOff>91440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167640</xdr:colOff>
      <xdr:row>21</xdr:row>
      <xdr:rowOff>38100</xdr:rowOff>
    </xdr:from>
    <xdr:to>
      <xdr:col>64</xdr:col>
      <xdr:colOff>60960</xdr:colOff>
      <xdr:row>24</xdr:row>
      <xdr:rowOff>208305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4A8B0C50-A1E3-450A-A0B5-A05D890F60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44340" y="14119860"/>
          <a:ext cx="1074420" cy="10617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77</xdr:col>
          <xdr:colOff>22860</xdr:colOff>
          <xdr:row>3</xdr:row>
          <xdr:rowOff>45720</xdr:rowOff>
        </xdr:from>
        <xdr:to>
          <xdr:col>84</xdr:col>
          <xdr:colOff>60960</xdr:colOff>
          <xdr:row>5</xdr:row>
          <xdr:rowOff>15240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印　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</xdr:col>
          <xdr:colOff>53340</xdr:colOff>
          <xdr:row>6</xdr:row>
          <xdr:rowOff>99060</xdr:rowOff>
        </xdr:from>
        <xdr:to>
          <xdr:col>84</xdr:col>
          <xdr:colOff>45720</xdr:colOff>
          <xdr:row>8</xdr:row>
          <xdr:rowOff>30480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7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152400</xdr:colOff>
      <xdr:row>27</xdr:row>
      <xdr:rowOff>0</xdr:rowOff>
    </xdr:from>
    <xdr:to>
      <xdr:col>64</xdr:col>
      <xdr:colOff>45720</xdr:colOff>
      <xdr:row>30</xdr:row>
      <xdr:rowOff>170205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6A98D27-B3E9-4F49-B6BD-4D9A8CB5D9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29100" y="14081760"/>
          <a:ext cx="1074420" cy="10617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77</xdr:col>
          <xdr:colOff>22860</xdr:colOff>
          <xdr:row>3</xdr:row>
          <xdr:rowOff>0</xdr:rowOff>
        </xdr:from>
        <xdr:to>
          <xdr:col>84</xdr:col>
          <xdr:colOff>60960</xdr:colOff>
          <xdr:row>4</xdr:row>
          <xdr:rowOff>220980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印　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</xdr:col>
          <xdr:colOff>22860</xdr:colOff>
          <xdr:row>5</xdr:row>
          <xdr:rowOff>190500</xdr:rowOff>
        </xdr:from>
        <xdr:to>
          <xdr:col>84</xdr:col>
          <xdr:colOff>15240</xdr:colOff>
          <xdr:row>7</xdr:row>
          <xdr:rowOff>121920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8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137160</xdr:colOff>
      <xdr:row>24</xdr:row>
      <xdr:rowOff>38100</xdr:rowOff>
    </xdr:from>
    <xdr:to>
      <xdr:col>64</xdr:col>
      <xdr:colOff>30480</xdr:colOff>
      <xdr:row>27</xdr:row>
      <xdr:rowOff>208305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B806F32E-05DA-4B31-8512-E963EDE636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6720" y="15628620"/>
          <a:ext cx="1074420" cy="10617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77</xdr:col>
          <xdr:colOff>53340</xdr:colOff>
          <xdr:row>3</xdr:row>
          <xdr:rowOff>30480</xdr:rowOff>
        </xdr:from>
        <xdr:to>
          <xdr:col>84</xdr:col>
          <xdr:colOff>91440</xdr:colOff>
          <xdr:row>5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9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印　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77</xdr:col>
          <xdr:colOff>144780</xdr:colOff>
          <xdr:row>6</xdr:row>
          <xdr:rowOff>190500</xdr:rowOff>
        </xdr:from>
        <xdr:to>
          <xdr:col>84</xdr:col>
          <xdr:colOff>137160</xdr:colOff>
          <xdr:row>8</xdr:row>
          <xdr:rowOff>121920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9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6347A-EA21-4A0A-A07B-822355BEE5EA}">
  <sheetPr codeName="Sheet1">
    <tabColor rgb="FF7030A0"/>
  </sheetPr>
  <dimension ref="A1:CA164"/>
  <sheetViews>
    <sheetView zoomScaleNormal="100" zoomScaleSheetLayoutView="91" workbookViewId="0">
      <pane xSplit="4" ySplit="2" topLeftCell="E4" activePane="bottomRight" state="frozen"/>
      <selection pane="topRight" activeCell="D1" sqref="D1"/>
      <selection pane="bottomLeft" activeCell="A2" sqref="A2"/>
      <selection pane="bottomRight" activeCell="D4" sqref="D4"/>
    </sheetView>
  </sheetViews>
  <sheetFormatPr defaultRowHeight="18" outlineLevelCol="2"/>
  <cols>
    <col min="1" max="1" width="1.8984375" style="50" customWidth="1"/>
    <col min="2" max="2" width="4.19921875" style="50" customWidth="1"/>
    <col min="3" max="3" width="4.3984375" style="17" customWidth="1"/>
    <col min="4" max="4" width="14.09765625" customWidth="1"/>
    <col min="5" max="5" width="26.296875" customWidth="1"/>
    <col min="6" max="10" width="7.8984375" customWidth="1" outlineLevel="1"/>
    <col min="11" max="11" width="9.69921875" customWidth="1" outlineLevel="1"/>
    <col min="12" max="12" width="10.19921875" style="17" customWidth="1"/>
    <col min="13" max="13" width="7" style="3" customWidth="1"/>
    <col min="14" max="19" width="4.3984375" style="3" customWidth="1" outlineLevel="1"/>
    <col min="20" max="20" width="12.796875" style="4" customWidth="1"/>
    <col min="21" max="26" width="7.19921875" style="4" customWidth="1" outlineLevel="1"/>
    <col min="27" max="27" width="5.19921875" style="10" customWidth="1"/>
    <col min="28" max="33" width="5.19921875" style="10" customWidth="1" outlineLevel="1"/>
    <col min="35" max="37" width="6.296875" customWidth="1" outlineLevel="1"/>
    <col min="38" max="38" width="9.8984375" customWidth="1"/>
    <col min="39" max="39" width="8.796875" customWidth="1" outlineLevel="1"/>
    <col min="40" max="40" width="20.19921875" customWidth="1" outlineLevel="1"/>
    <col min="41" max="41" width="12.09765625" customWidth="1"/>
    <col min="43" max="43" width="12" customWidth="1" outlineLevel="2"/>
    <col min="44" max="44" width="8.796875" customWidth="1" outlineLevel="2"/>
    <col min="45" max="45" width="8.09765625" customWidth="1" outlineLevel="2"/>
    <col min="46" max="46" width="7.796875" customWidth="1" outlineLevel="2"/>
    <col min="47" max="48" width="8.796875" customWidth="1" outlineLevel="2"/>
    <col min="49" max="50" width="12.69921875" customWidth="1"/>
    <col min="51" max="53" width="8.796875" hidden="1" customWidth="1" outlineLevel="1"/>
    <col min="54" max="54" width="8.796875" collapsed="1"/>
    <col min="56" max="78" width="0" hidden="1" customWidth="1" outlineLevel="1"/>
    <col min="79" max="79" width="8.796875" collapsed="1"/>
  </cols>
  <sheetData>
    <row r="1" spans="1:79" ht="18.600000000000001" thickBot="1">
      <c r="A1" s="46">
        <v>1</v>
      </c>
      <c r="B1" s="47">
        <v>2</v>
      </c>
      <c r="C1" s="28">
        <v>3</v>
      </c>
      <c r="D1" s="29">
        <v>4</v>
      </c>
      <c r="E1" s="29">
        <v>5</v>
      </c>
      <c r="F1" s="29">
        <v>6</v>
      </c>
      <c r="G1" s="29">
        <v>7</v>
      </c>
      <c r="H1" s="29">
        <v>8</v>
      </c>
      <c r="I1" s="29">
        <v>9</v>
      </c>
      <c r="J1" s="29">
        <v>10</v>
      </c>
      <c r="K1" s="29">
        <v>11</v>
      </c>
      <c r="L1" s="28">
        <v>12</v>
      </c>
      <c r="M1" s="29">
        <v>13</v>
      </c>
      <c r="N1" s="29">
        <v>14</v>
      </c>
      <c r="O1" s="29">
        <v>15</v>
      </c>
      <c r="P1" s="29">
        <v>16</v>
      </c>
      <c r="Q1" s="29">
        <v>17</v>
      </c>
      <c r="R1" s="29">
        <v>18</v>
      </c>
      <c r="S1" s="29">
        <v>19</v>
      </c>
      <c r="T1" s="29">
        <v>20</v>
      </c>
      <c r="U1" s="29">
        <v>21</v>
      </c>
      <c r="V1" s="29">
        <v>22</v>
      </c>
      <c r="W1" s="29">
        <v>23</v>
      </c>
      <c r="X1" s="29">
        <v>24</v>
      </c>
      <c r="Y1" s="29">
        <v>25</v>
      </c>
      <c r="Z1" s="29">
        <v>26</v>
      </c>
      <c r="AA1" s="29">
        <v>27</v>
      </c>
      <c r="AB1" s="29">
        <v>28</v>
      </c>
      <c r="AC1" s="29">
        <v>29</v>
      </c>
      <c r="AD1" s="29">
        <v>30</v>
      </c>
      <c r="AE1" s="29">
        <v>31</v>
      </c>
      <c r="AF1" s="29">
        <v>32</v>
      </c>
      <c r="AG1" s="29">
        <v>33</v>
      </c>
      <c r="AH1" s="29">
        <v>34</v>
      </c>
      <c r="AI1" s="29">
        <v>35</v>
      </c>
      <c r="AJ1" s="29">
        <v>36</v>
      </c>
      <c r="AK1" s="29">
        <v>37</v>
      </c>
      <c r="AL1" s="29">
        <v>38</v>
      </c>
      <c r="AM1" s="29">
        <v>39</v>
      </c>
      <c r="AN1" s="29">
        <v>40</v>
      </c>
      <c r="AO1" s="29">
        <v>41</v>
      </c>
      <c r="AP1" s="29">
        <v>42</v>
      </c>
      <c r="AQ1" s="29">
        <v>43</v>
      </c>
      <c r="AR1" s="29">
        <v>44</v>
      </c>
      <c r="AS1" s="29">
        <v>45</v>
      </c>
      <c r="AT1" s="29">
        <v>46</v>
      </c>
      <c r="AU1" s="29">
        <v>47</v>
      </c>
      <c r="AV1" s="29">
        <v>48</v>
      </c>
      <c r="AW1" s="29">
        <v>49</v>
      </c>
      <c r="AX1" s="29">
        <v>50</v>
      </c>
      <c r="AY1" s="29">
        <v>51</v>
      </c>
      <c r="AZ1" s="29">
        <v>52</v>
      </c>
      <c r="BA1" s="29">
        <v>53</v>
      </c>
      <c r="BB1" s="29">
        <v>54</v>
      </c>
      <c r="BC1" s="29">
        <v>55</v>
      </c>
      <c r="BD1" s="29">
        <v>56</v>
      </c>
      <c r="BE1" s="29">
        <v>57</v>
      </c>
      <c r="BF1" s="29">
        <v>58</v>
      </c>
      <c r="BG1" s="29">
        <v>59</v>
      </c>
      <c r="BH1" s="29">
        <v>60</v>
      </c>
      <c r="BI1" s="29">
        <v>61</v>
      </c>
      <c r="BJ1" s="29">
        <v>62</v>
      </c>
      <c r="BK1" s="29">
        <v>63</v>
      </c>
      <c r="BL1" s="29">
        <v>64</v>
      </c>
      <c r="BM1" s="29">
        <v>65</v>
      </c>
      <c r="BN1" s="29">
        <v>66</v>
      </c>
      <c r="BO1" s="29">
        <v>67</v>
      </c>
      <c r="BP1" s="29">
        <v>68</v>
      </c>
      <c r="BQ1" s="29">
        <v>69</v>
      </c>
      <c r="BR1" s="29">
        <v>70</v>
      </c>
      <c r="BS1" s="29">
        <v>71</v>
      </c>
      <c r="BT1" s="29">
        <v>72</v>
      </c>
      <c r="BU1" s="29">
        <v>73</v>
      </c>
      <c r="BV1" s="29">
        <v>74</v>
      </c>
      <c r="BW1" s="29">
        <v>75</v>
      </c>
      <c r="BX1" s="29">
        <v>76</v>
      </c>
      <c r="BY1" s="29">
        <v>77</v>
      </c>
      <c r="BZ1" s="29">
        <v>78</v>
      </c>
      <c r="CA1" s="30"/>
    </row>
    <row r="2" spans="1:79" s="6" customFormat="1">
      <c r="A2" s="48" t="s">
        <v>144</v>
      </c>
      <c r="B2" s="49" t="s">
        <v>145</v>
      </c>
      <c r="C2" s="43" t="s">
        <v>330</v>
      </c>
      <c r="D2" s="20" t="s">
        <v>146</v>
      </c>
      <c r="E2" s="21" t="s">
        <v>337</v>
      </c>
      <c r="F2" s="21"/>
      <c r="G2" s="21"/>
      <c r="H2" s="21"/>
      <c r="I2" s="21"/>
      <c r="J2" s="21"/>
      <c r="K2" s="21"/>
      <c r="L2" s="43" t="s">
        <v>327</v>
      </c>
      <c r="M2" s="6" t="s">
        <v>421</v>
      </c>
      <c r="N2" s="22"/>
      <c r="O2" s="22"/>
      <c r="P2" s="22"/>
      <c r="Q2" s="22"/>
      <c r="R2" s="22"/>
      <c r="S2" s="22"/>
      <c r="T2" s="23" t="s">
        <v>148</v>
      </c>
      <c r="U2" s="23"/>
      <c r="V2" s="23"/>
      <c r="W2" s="23"/>
      <c r="X2" s="23"/>
      <c r="Y2" s="23"/>
      <c r="Z2" s="23"/>
      <c r="AA2" s="24"/>
      <c r="AB2" s="24"/>
      <c r="AC2" s="24"/>
      <c r="AD2" s="24"/>
      <c r="AE2" s="24"/>
      <c r="AF2" s="24"/>
      <c r="AG2" s="24"/>
      <c r="AH2" s="21" t="s">
        <v>415</v>
      </c>
      <c r="AI2" s="21" t="s">
        <v>416</v>
      </c>
      <c r="AJ2" s="21" t="s">
        <v>417</v>
      </c>
      <c r="AK2" s="21" t="s">
        <v>418</v>
      </c>
      <c r="AL2" s="21" t="s">
        <v>324</v>
      </c>
      <c r="AM2" s="25" t="s">
        <v>147</v>
      </c>
      <c r="AN2" s="21" t="s">
        <v>149</v>
      </c>
      <c r="AO2" s="26" t="s">
        <v>150</v>
      </c>
      <c r="AP2" s="20" t="s">
        <v>151</v>
      </c>
      <c r="AQ2" s="27" t="s">
        <v>152</v>
      </c>
      <c r="AR2" s="6" t="s">
        <v>153</v>
      </c>
      <c r="AS2" s="6" t="s">
        <v>154</v>
      </c>
      <c r="AT2" s="6" t="s">
        <v>155</v>
      </c>
      <c r="AU2" s="6" t="s">
        <v>156</v>
      </c>
      <c r="AV2" s="6" t="s">
        <v>9</v>
      </c>
      <c r="AW2" s="31" t="s">
        <v>328</v>
      </c>
      <c r="AX2" s="31" t="s">
        <v>329</v>
      </c>
      <c r="BB2" s="18" t="s">
        <v>447</v>
      </c>
      <c r="BC2" s="18" t="s">
        <v>447</v>
      </c>
    </row>
    <row r="3" spans="1:79">
      <c r="A3" s="50" t="s">
        <v>597</v>
      </c>
      <c r="B3" s="51" t="s">
        <v>20</v>
      </c>
      <c r="C3" s="17">
        <v>5</v>
      </c>
      <c r="D3" s="42" t="s">
        <v>161</v>
      </c>
      <c r="E3" t="s">
        <v>338</v>
      </c>
      <c r="F3" t="s">
        <v>331</v>
      </c>
      <c r="G3" t="s">
        <v>543</v>
      </c>
      <c r="L3" s="17">
        <v>6</v>
      </c>
      <c r="M3" s="3">
        <v>6</v>
      </c>
      <c r="N3" s="3">
        <v>2</v>
      </c>
      <c r="O3" s="3">
        <v>1</v>
      </c>
      <c r="T3" s="4" t="s">
        <v>432</v>
      </c>
      <c r="U3" s="4" t="s">
        <v>424</v>
      </c>
      <c r="V3" s="4" t="s">
        <v>433</v>
      </c>
      <c r="AA3" s="10">
        <v>8</v>
      </c>
      <c r="AB3" s="10">
        <v>1</v>
      </c>
      <c r="AC3" s="10">
        <v>1</v>
      </c>
      <c r="AH3" s="2">
        <v>1225</v>
      </c>
      <c r="AJ3" s="2"/>
      <c r="AK3" s="2"/>
      <c r="AL3" s="2">
        <v>3000</v>
      </c>
      <c r="AM3" s="2" t="s">
        <v>157</v>
      </c>
      <c r="AN3" t="s">
        <v>162</v>
      </c>
      <c r="AO3" s="8">
        <v>40141</v>
      </c>
      <c r="AP3" s="9" t="str">
        <f t="shared" ref="AP3:AP25" ca="1" si="0">DATEDIF(AO3,TODAY(),"Y")&amp;"年"&amp;DATEDIF(AO3,TODAY(),"YM")&amp;"ヶ月"</f>
        <v>16年4ヶ月</v>
      </c>
      <c r="AQ3" s="8">
        <v>22070</v>
      </c>
      <c r="AR3">
        <f t="shared" ref="AR3:AR25" ca="1" si="1">DATEDIF(AQ3,TODAY(),"Y")</f>
        <v>65</v>
      </c>
      <c r="AS3" t="s">
        <v>163</v>
      </c>
      <c r="AT3" t="s">
        <v>0</v>
      </c>
      <c r="AU3" t="s">
        <v>1</v>
      </c>
      <c r="AV3" t="s">
        <v>21</v>
      </c>
      <c r="AW3" s="34"/>
      <c r="AX3" s="32"/>
      <c r="BA3" t="s">
        <v>448</v>
      </c>
      <c r="BB3" t="s">
        <v>449</v>
      </c>
      <c r="BC3" t="s">
        <v>443</v>
      </c>
    </row>
    <row r="4" spans="1:79">
      <c r="A4" s="50" t="s">
        <v>419</v>
      </c>
      <c r="B4" s="51" t="s">
        <v>22</v>
      </c>
      <c r="C4" s="17">
        <v>5</v>
      </c>
      <c r="D4" s="42" t="s">
        <v>600</v>
      </c>
      <c r="E4" t="s">
        <v>338</v>
      </c>
      <c r="F4" t="s">
        <v>338</v>
      </c>
      <c r="G4" t="s">
        <v>545</v>
      </c>
      <c r="H4" t="s">
        <v>544</v>
      </c>
      <c r="L4" s="17">
        <v>5</v>
      </c>
      <c r="M4" s="3">
        <v>3</v>
      </c>
      <c r="N4" s="3">
        <v>2</v>
      </c>
      <c r="O4" s="3">
        <v>3</v>
      </c>
      <c r="P4" s="7" t="s">
        <v>332</v>
      </c>
      <c r="T4" s="4" t="s">
        <v>420</v>
      </c>
      <c r="U4" s="4" t="s">
        <v>521</v>
      </c>
      <c r="V4" s="4" t="s">
        <v>526</v>
      </c>
      <c r="W4" s="4" t="s">
        <v>527</v>
      </c>
      <c r="AA4" s="10">
        <v>8</v>
      </c>
      <c r="AB4" s="10">
        <v>6</v>
      </c>
      <c r="AC4" s="10">
        <v>1</v>
      </c>
      <c r="AD4" s="10">
        <v>1</v>
      </c>
      <c r="AH4" s="2">
        <v>1225</v>
      </c>
      <c r="AI4" s="2"/>
      <c r="AJ4" s="2"/>
      <c r="AK4" s="2"/>
      <c r="AL4" s="2"/>
      <c r="AM4" s="2" t="s">
        <v>157</v>
      </c>
      <c r="AN4" t="s">
        <v>162</v>
      </c>
      <c r="AO4" s="8">
        <v>39338</v>
      </c>
      <c r="AP4" s="9" t="str">
        <f t="shared" ca="1" si="0"/>
        <v>18年7ヶ月</v>
      </c>
      <c r="AQ4" s="8">
        <v>22930</v>
      </c>
      <c r="AR4">
        <f t="shared" ca="1" si="1"/>
        <v>63</v>
      </c>
      <c r="AS4" t="s">
        <v>164</v>
      </c>
      <c r="AT4" t="str">
        <f>IF(COUNTIF(AS4,"*区*"),LEFT(AS4,FIND("区",AS4)),IF(COUNTIF(AS4,"*市*"),LEFT(AS4,FIND("市",AS4)),IF(COUNTIF(AS4,"*郡*"),LEFT(AS4,FIND("郡",AS4)),"エラー")))</f>
        <v>横浜市泉区</v>
      </c>
      <c r="AU4" t="str">
        <f>RIGHT(AS4,LEN(AS4)-LEN(AT4))</f>
        <v>中田西一丁目６番２８－１０２号</v>
      </c>
      <c r="AV4" t="s">
        <v>23</v>
      </c>
      <c r="AW4" s="32"/>
      <c r="AX4" s="32"/>
    </row>
    <row r="5" spans="1:79">
      <c r="A5" s="50" t="s">
        <v>565</v>
      </c>
      <c r="B5" s="51" t="s">
        <v>24</v>
      </c>
      <c r="C5" s="17">
        <v>4</v>
      </c>
      <c r="D5" s="42" t="s">
        <v>165</v>
      </c>
      <c r="E5" t="s">
        <v>338</v>
      </c>
      <c r="F5" t="s">
        <v>338</v>
      </c>
      <c r="G5" t="s">
        <v>338</v>
      </c>
      <c r="H5" t="s">
        <v>339</v>
      </c>
      <c r="I5" t="s">
        <v>340</v>
      </c>
      <c r="J5" t="s">
        <v>333</v>
      </c>
      <c r="L5" s="17">
        <v>6</v>
      </c>
      <c r="M5" s="3">
        <v>1</v>
      </c>
      <c r="N5" s="3">
        <v>1</v>
      </c>
      <c r="O5" s="3">
        <v>1</v>
      </c>
      <c r="P5" s="3">
        <v>1</v>
      </c>
      <c r="Q5" s="3">
        <v>2</v>
      </c>
      <c r="R5" s="3">
        <v>1</v>
      </c>
      <c r="T5" s="5" t="s">
        <v>521</v>
      </c>
      <c r="U5" s="5" t="s">
        <v>420</v>
      </c>
      <c r="V5" s="5" t="s">
        <v>522</v>
      </c>
      <c r="W5" s="4" t="s">
        <v>425</v>
      </c>
      <c r="X5" s="4" t="s">
        <v>425</v>
      </c>
      <c r="Y5" s="5" t="s">
        <v>528</v>
      </c>
      <c r="Z5" s="5"/>
      <c r="AA5" s="10">
        <v>6</v>
      </c>
      <c r="AB5" s="10">
        <v>8</v>
      </c>
      <c r="AC5" s="10">
        <v>3</v>
      </c>
      <c r="AD5" s="10">
        <v>3</v>
      </c>
      <c r="AE5" s="10">
        <v>1</v>
      </c>
      <c r="AH5" s="2">
        <v>1225</v>
      </c>
      <c r="AI5" s="2"/>
      <c r="AJ5" s="2"/>
      <c r="AK5" s="2"/>
      <c r="AL5" s="2"/>
      <c r="AM5" s="2" t="s">
        <v>160</v>
      </c>
      <c r="AO5" s="8">
        <v>40080</v>
      </c>
      <c r="AP5" s="9" t="str">
        <f t="shared" ca="1" si="0"/>
        <v>16年6ヶ月</v>
      </c>
      <c r="AQ5" s="8">
        <v>19641</v>
      </c>
      <c r="AR5">
        <f t="shared" ca="1" si="1"/>
        <v>72</v>
      </c>
      <c r="AS5" t="s">
        <v>166</v>
      </c>
      <c r="AT5" t="str">
        <f>IF(COUNTIF(AS5,"*区*"),LEFT(AS5,FIND("区",AS5)),IF(COUNTIF(AS5,"*市*"),LEFT(AS5,FIND("市",AS5)),IF(COUNTIF(AS5,"*郡*"),LEFT(AS5,FIND("郡",AS5)),"エラー")))</f>
        <v>横浜市戸塚区</v>
      </c>
      <c r="AU5" t="str">
        <f>RIGHT(AS5,LEN(AS5)-LEN(AT5))</f>
        <v>戸塚町４５３６番地１２戸塚富士見丘ハイツＤ棟５０１号</v>
      </c>
      <c r="AV5" t="s">
        <v>13</v>
      </c>
      <c r="AW5" s="32"/>
      <c r="AX5" s="32"/>
    </row>
    <row r="6" spans="1:79">
      <c r="A6" s="50" t="s">
        <v>458</v>
      </c>
      <c r="B6" s="51" t="s">
        <v>25</v>
      </c>
      <c r="C6" s="17">
        <v>5</v>
      </c>
      <c r="D6" s="9" t="s">
        <v>167</v>
      </c>
      <c r="E6" t="s">
        <v>338</v>
      </c>
      <c r="L6" s="17">
        <v>5</v>
      </c>
      <c r="M6" s="3">
        <v>5</v>
      </c>
      <c r="T6" s="5" t="s">
        <v>431</v>
      </c>
      <c r="U6" s="5"/>
      <c r="V6" s="5"/>
      <c r="W6" s="5"/>
      <c r="X6" s="5"/>
      <c r="Y6" s="5"/>
      <c r="Z6" s="5"/>
      <c r="AA6" s="10">
        <v>3</v>
      </c>
      <c r="AH6" s="2">
        <v>1225</v>
      </c>
      <c r="AI6" s="2"/>
      <c r="AJ6" s="2"/>
      <c r="AK6" s="2"/>
      <c r="AL6" s="2"/>
      <c r="AM6" s="2" t="s">
        <v>157</v>
      </c>
      <c r="AO6" s="8">
        <v>40956</v>
      </c>
      <c r="AP6" s="9" t="str">
        <f t="shared" ca="1" si="0"/>
        <v>14年1ヶ月</v>
      </c>
      <c r="AQ6" s="8">
        <v>17580</v>
      </c>
      <c r="AR6">
        <f t="shared" ca="1" si="1"/>
        <v>78</v>
      </c>
      <c r="AS6" t="s">
        <v>168</v>
      </c>
      <c r="AT6" t="str">
        <f>IF(COUNTIF(AS6,"*区*"),LEFT(AS6,FIND("区",AS6)),IF(COUNTIF(AS6,"*市*"),LEFT(AS6,FIND("市",AS6)),IF(COUNTIF(AS6,"*郡*"),LEFT(AS6,FIND("郡",AS6)),"エラー")))</f>
        <v>横浜市</v>
      </c>
      <c r="AU6" t="str">
        <f>RIGHT(AS6,LEN(AS6)-LEN(AT6))</f>
        <v>戸塚戸塚町４５３６番地１８ 富士見丘ハイツC棟５０４号</v>
      </c>
      <c r="AV6" t="s">
        <v>13</v>
      </c>
      <c r="AW6" s="32"/>
      <c r="AX6" s="32"/>
    </row>
    <row r="7" spans="1:79">
      <c r="A7" s="50" t="s">
        <v>459</v>
      </c>
      <c r="B7" s="51" t="s">
        <v>26</v>
      </c>
      <c r="C7" s="17">
        <v>5</v>
      </c>
      <c r="D7" s="42" t="s">
        <v>169</v>
      </c>
      <c r="E7" t="s">
        <v>338</v>
      </c>
      <c r="F7" t="s">
        <v>339</v>
      </c>
      <c r="L7" s="17">
        <v>5</v>
      </c>
      <c r="M7" s="3">
        <v>5</v>
      </c>
      <c r="N7" s="3">
        <v>2</v>
      </c>
      <c r="T7" s="5" t="s">
        <v>431</v>
      </c>
      <c r="U7" s="5" t="s">
        <v>426</v>
      </c>
      <c r="V7" s="5"/>
      <c r="W7" s="5"/>
      <c r="X7" s="5"/>
      <c r="Y7" s="5"/>
      <c r="Z7" s="5"/>
      <c r="AA7" s="10">
        <v>3</v>
      </c>
      <c r="AB7" s="10">
        <v>4</v>
      </c>
      <c r="AH7" s="2">
        <v>1225</v>
      </c>
      <c r="AI7" s="2"/>
      <c r="AJ7" s="2"/>
      <c r="AK7" s="2"/>
      <c r="AL7" s="2"/>
      <c r="AM7" s="2" t="s">
        <v>157</v>
      </c>
      <c r="AN7" t="s">
        <v>159</v>
      </c>
      <c r="AO7" s="8">
        <v>40141</v>
      </c>
      <c r="AP7" s="9" t="str">
        <f t="shared" ca="1" si="0"/>
        <v>16年4ヶ月</v>
      </c>
      <c r="AQ7" s="8">
        <v>20562</v>
      </c>
      <c r="AR7">
        <f t="shared" ca="1" si="1"/>
        <v>69</v>
      </c>
      <c r="AS7" t="s">
        <v>170</v>
      </c>
      <c r="AT7" t="s">
        <v>7</v>
      </c>
      <c r="AU7" t="s">
        <v>27</v>
      </c>
      <c r="AV7" t="s">
        <v>10</v>
      </c>
      <c r="AW7" s="32"/>
      <c r="AX7" s="32"/>
    </row>
    <row r="8" spans="1:79">
      <c r="A8" s="50" t="s">
        <v>460</v>
      </c>
      <c r="B8" s="51" t="s">
        <v>28</v>
      </c>
      <c r="C8" s="17">
        <v>5</v>
      </c>
      <c r="D8" s="9" t="s">
        <v>171</v>
      </c>
      <c r="E8" t="s">
        <v>338</v>
      </c>
      <c r="L8" s="17">
        <v>5</v>
      </c>
      <c r="M8" s="3">
        <v>5</v>
      </c>
      <c r="T8" s="5" t="s">
        <v>431</v>
      </c>
      <c r="V8" s="5"/>
      <c r="W8" s="5"/>
      <c r="X8" s="5"/>
      <c r="Y8" s="5"/>
      <c r="Z8" s="5"/>
      <c r="AA8" s="10">
        <v>3</v>
      </c>
      <c r="AB8" s="10">
        <v>1.5</v>
      </c>
      <c r="AH8" s="2">
        <v>1225</v>
      </c>
      <c r="AI8" s="2"/>
      <c r="AJ8" s="2"/>
      <c r="AK8" s="2"/>
      <c r="AL8" s="2"/>
      <c r="AM8" s="2" t="s">
        <v>157</v>
      </c>
      <c r="AO8" s="8">
        <v>42533</v>
      </c>
      <c r="AP8" s="9" t="str">
        <f t="shared" ca="1" si="0"/>
        <v>9年10ヶ月</v>
      </c>
      <c r="AQ8" s="8">
        <v>15960</v>
      </c>
      <c r="AR8">
        <f t="shared" ca="1" si="1"/>
        <v>82</v>
      </c>
      <c r="AS8" t="s">
        <v>172</v>
      </c>
      <c r="AT8" t="str">
        <f t="shared" ref="AT8:AT25" si="2">IF(COUNTIF(AS8,"*区*"),LEFT(AS8,FIND("区",AS8)),IF(COUNTIF(AS8,"*市*"),LEFT(AS8,FIND("市",AS8)),IF(COUNTIF(AS8,"*郡*"),LEFT(AS8,FIND("郡",AS8)),"エラー")))</f>
        <v>横浜市戸塚区</v>
      </c>
      <c r="AU8" t="str">
        <f t="shared" ref="AU8:AU25" si="3">RIGHT(AS8,LEN(AS8)-LEN(AT8))</f>
        <v>矢部町５７２番地</v>
      </c>
      <c r="AV8" t="s">
        <v>18</v>
      </c>
      <c r="AW8" s="32"/>
      <c r="AX8" s="32"/>
    </row>
    <row r="9" spans="1:79">
      <c r="A9" s="50" t="s">
        <v>461</v>
      </c>
      <c r="B9" s="51" t="s">
        <v>29</v>
      </c>
      <c r="C9" s="17">
        <v>5</v>
      </c>
      <c r="D9" s="42" t="s">
        <v>173</v>
      </c>
      <c r="E9" t="s">
        <v>338</v>
      </c>
      <c r="F9" t="s">
        <v>341</v>
      </c>
      <c r="G9" t="s">
        <v>336</v>
      </c>
      <c r="L9" s="17">
        <v>5</v>
      </c>
      <c r="M9" s="3">
        <v>4</v>
      </c>
      <c r="N9" s="3">
        <v>4</v>
      </c>
      <c r="O9" s="3">
        <v>1</v>
      </c>
      <c r="T9" s="5" t="s">
        <v>431</v>
      </c>
      <c r="U9" s="5" t="s">
        <v>425</v>
      </c>
      <c r="V9" s="5" t="s">
        <v>430</v>
      </c>
      <c r="W9" s="5"/>
      <c r="X9" s="5"/>
      <c r="Y9" s="5"/>
      <c r="Z9" s="5"/>
      <c r="AA9" s="10">
        <v>3</v>
      </c>
      <c r="AB9" s="10">
        <v>3</v>
      </c>
      <c r="AC9" s="10">
        <v>4</v>
      </c>
      <c r="AH9" s="2">
        <v>1225</v>
      </c>
      <c r="AI9" s="2"/>
      <c r="AJ9" s="2"/>
      <c r="AK9" s="2"/>
      <c r="AL9" s="2"/>
      <c r="AM9" s="2" t="s">
        <v>157</v>
      </c>
      <c r="AN9" t="s">
        <v>159</v>
      </c>
      <c r="AO9" s="8">
        <v>42711</v>
      </c>
      <c r="AP9" s="9" t="str">
        <f t="shared" ca="1" si="0"/>
        <v>9年4ヶ月</v>
      </c>
      <c r="AQ9" s="8">
        <v>17190</v>
      </c>
      <c r="AR9">
        <f t="shared" ca="1" si="1"/>
        <v>79</v>
      </c>
      <c r="AS9" t="s">
        <v>174</v>
      </c>
      <c r="AT9" t="str">
        <f t="shared" si="2"/>
        <v>横浜市戸塚区</v>
      </c>
      <c r="AU9" t="str">
        <f t="shared" si="3"/>
        <v>吉田町１１１０番地１８サンパティーク戸塚１０２号</v>
      </c>
      <c r="AV9" t="s">
        <v>30</v>
      </c>
      <c r="AW9" s="32"/>
      <c r="AX9" s="32"/>
    </row>
    <row r="10" spans="1:79">
      <c r="A10" s="50" t="s">
        <v>462</v>
      </c>
      <c r="B10" s="51" t="s">
        <v>31</v>
      </c>
      <c r="C10" s="17">
        <v>5</v>
      </c>
      <c r="D10" s="42" t="s">
        <v>175</v>
      </c>
      <c r="E10" t="s">
        <v>338</v>
      </c>
      <c r="F10" t="s">
        <v>338</v>
      </c>
      <c r="G10" t="s">
        <v>543</v>
      </c>
      <c r="L10" s="17">
        <v>5</v>
      </c>
      <c r="M10" s="3">
        <v>4</v>
      </c>
      <c r="N10" s="3">
        <v>1</v>
      </c>
      <c r="O10" s="3">
        <v>1</v>
      </c>
      <c r="T10" s="4" t="s">
        <v>522</v>
      </c>
      <c r="U10" s="4" t="s">
        <v>432</v>
      </c>
      <c r="V10" s="4" t="s">
        <v>433</v>
      </c>
      <c r="AA10" s="10">
        <v>6</v>
      </c>
      <c r="AB10" s="10">
        <v>8</v>
      </c>
      <c r="AC10" s="10">
        <v>1</v>
      </c>
      <c r="AH10" s="2">
        <v>1225</v>
      </c>
      <c r="AI10" s="2"/>
      <c r="AJ10" s="2"/>
      <c r="AK10" s="2"/>
      <c r="AL10" s="2"/>
      <c r="AM10" s="2" t="s">
        <v>157</v>
      </c>
      <c r="AN10" t="s">
        <v>176</v>
      </c>
      <c r="AO10" s="8">
        <v>39052</v>
      </c>
      <c r="AP10" s="9" t="str">
        <f t="shared" ca="1" si="0"/>
        <v>19年4ヶ月</v>
      </c>
      <c r="AQ10" s="8">
        <v>19749</v>
      </c>
      <c r="AR10">
        <f t="shared" ca="1" si="1"/>
        <v>72</v>
      </c>
      <c r="AS10" t="s">
        <v>177</v>
      </c>
      <c r="AT10" t="str">
        <f t="shared" si="2"/>
        <v>横浜市南区</v>
      </c>
      <c r="AU10" t="str">
        <f t="shared" si="3"/>
        <v>永田みなみ台２番１１-５０６号</v>
      </c>
      <c r="AV10" t="s">
        <v>32</v>
      </c>
      <c r="AW10" s="32"/>
      <c r="AX10" s="32"/>
    </row>
    <row r="11" spans="1:79">
      <c r="A11" s="50" t="s">
        <v>463</v>
      </c>
      <c r="B11" s="51" t="s">
        <v>33</v>
      </c>
      <c r="C11" s="17">
        <v>5</v>
      </c>
      <c r="D11" s="9" t="s">
        <v>178</v>
      </c>
      <c r="E11" t="s">
        <v>338</v>
      </c>
      <c r="L11" s="17">
        <v>5</v>
      </c>
      <c r="M11" s="3">
        <v>5</v>
      </c>
      <c r="T11" s="5" t="s">
        <v>431</v>
      </c>
      <c r="V11" s="5"/>
      <c r="W11" s="5"/>
      <c r="X11" s="5"/>
      <c r="Y11" s="5"/>
      <c r="Z11" s="5"/>
      <c r="AA11" s="10">
        <v>3</v>
      </c>
      <c r="AB11" s="10">
        <v>1.5</v>
      </c>
      <c r="AH11" s="2">
        <v>1225</v>
      </c>
      <c r="AI11" s="2"/>
      <c r="AJ11" s="2"/>
      <c r="AK11" s="2"/>
      <c r="AL11" s="2"/>
      <c r="AM11" s="2" t="s">
        <v>157</v>
      </c>
      <c r="AO11" s="8">
        <v>43648</v>
      </c>
      <c r="AP11" s="9" t="str">
        <f t="shared" ca="1" si="0"/>
        <v>6年9ヶ月</v>
      </c>
      <c r="AQ11" s="8">
        <v>16311</v>
      </c>
      <c r="AR11">
        <f t="shared" ca="1" si="1"/>
        <v>81</v>
      </c>
      <c r="AS11" t="s">
        <v>179</v>
      </c>
      <c r="AT11" t="str">
        <f t="shared" si="2"/>
        <v>横浜市栄区</v>
      </c>
      <c r="AU11" t="str">
        <f t="shared" si="3"/>
        <v>飯島町５２７飯島団地３－４－３０６号　</v>
      </c>
      <c r="AV11" t="s">
        <v>14</v>
      </c>
      <c r="AW11" s="32"/>
      <c r="AX11" s="32"/>
    </row>
    <row r="12" spans="1:79">
      <c r="A12" s="50" t="s">
        <v>574</v>
      </c>
      <c r="B12" s="51" t="s">
        <v>571</v>
      </c>
      <c r="C12" s="52"/>
      <c r="D12" s="42" t="s">
        <v>572</v>
      </c>
      <c r="E12" t="s">
        <v>338</v>
      </c>
      <c r="F12" t="s">
        <v>543</v>
      </c>
      <c r="L12" s="17">
        <v>2</v>
      </c>
      <c r="M12" s="3">
        <v>2</v>
      </c>
      <c r="N12" s="3">
        <v>2</v>
      </c>
      <c r="T12" s="4" t="s">
        <v>522</v>
      </c>
      <c r="U12" s="4" t="s">
        <v>433</v>
      </c>
      <c r="V12" s="5"/>
      <c r="W12" s="5"/>
      <c r="X12" s="5"/>
      <c r="Y12" s="5"/>
      <c r="Z12" s="5"/>
      <c r="AA12" s="10">
        <v>6</v>
      </c>
      <c r="AH12" s="2">
        <v>1225</v>
      </c>
      <c r="AI12" s="2"/>
      <c r="AJ12" s="2"/>
      <c r="AK12" s="2"/>
      <c r="AL12" s="2"/>
      <c r="AM12" s="2"/>
      <c r="AO12" s="8">
        <v>46062</v>
      </c>
      <c r="AP12" s="9" t="str">
        <f t="shared" ca="1" si="0"/>
        <v>0年2ヶ月</v>
      </c>
      <c r="AQ12" s="8">
        <v>30775</v>
      </c>
      <c r="AR12">
        <f t="shared" ca="1" si="1"/>
        <v>42</v>
      </c>
      <c r="AS12" s="44" t="s">
        <v>573</v>
      </c>
      <c r="AT12" t="str">
        <f t="shared" si="2"/>
        <v>横浜市戸塚区</v>
      </c>
      <c r="AU12" t="str">
        <f t="shared" si="3"/>
        <v>汲沢４丁目６番３</v>
      </c>
      <c r="AV12" t="s">
        <v>11</v>
      </c>
      <c r="AW12" s="32"/>
      <c r="AX12" s="32"/>
    </row>
    <row r="13" spans="1:79">
      <c r="A13" s="50" t="s">
        <v>437</v>
      </c>
      <c r="B13" s="51" t="s">
        <v>34</v>
      </c>
      <c r="C13" s="17">
        <v>1</v>
      </c>
      <c r="D13" s="45" t="s">
        <v>180</v>
      </c>
      <c r="E13" t="s">
        <v>438</v>
      </c>
      <c r="M13" s="19">
        <v>4</v>
      </c>
      <c r="T13" s="4" t="s">
        <v>334</v>
      </c>
      <c r="U13" s="4" t="s">
        <v>335</v>
      </c>
      <c r="AH13" s="2">
        <v>1300</v>
      </c>
      <c r="AI13" s="2">
        <v>1600</v>
      </c>
      <c r="AJ13" s="2"/>
      <c r="AK13" s="2"/>
      <c r="AM13" s="2" t="s">
        <v>160</v>
      </c>
      <c r="AO13" s="8">
        <v>45763</v>
      </c>
      <c r="AP13" s="9" t="str">
        <f t="shared" ca="1" si="0"/>
        <v>0年11ヶ月</v>
      </c>
      <c r="AQ13" s="8">
        <v>38550</v>
      </c>
      <c r="AR13">
        <f t="shared" ca="1" si="1"/>
        <v>20</v>
      </c>
      <c r="AS13" t="s">
        <v>181</v>
      </c>
      <c r="AT13" t="str">
        <f t="shared" si="2"/>
        <v>横浜市栄区</v>
      </c>
      <c r="AU13" t="str">
        <f t="shared" si="3"/>
        <v>長沼町２６６番地ヴィラージュ石井１０２号</v>
      </c>
      <c r="AV13" t="s">
        <v>35</v>
      </c>
      <c r="AW13" s="32"/>
      <c r="AX13" s="32"/>
    </row>
    <row r="14" spans="1:79">
      <c r="A14" s="50" t="s">
        <v>570</v>
      </c>
      <c r="B14" s="51" t="s">
        <v>36</v>
      </c>
      <c r="C14" s="17">
        <v>2</v>
      </c>
      <c r="D14" s="45" t="s">
        <v>182</v>
      </c>
      <c r="E14" t="s">
        <v>438</v>
      </c>
      <c r="M14" s="19">
        <v>8</v>
      </c>
      <c r="T14" s="4" t="s">
        <v>334</v>
      </c>
      <c r="U14" s="4" t="s">
        <v>335</v>
      </c>
      <c r="AH14" s="2">
        <v>1300</v>
      </c>
      <c r="AI14" s="2">
        <v>1600</v>
      </c>
      <c r="AJ14" s="2"/>
      <c r="AK14" s="2"/>
      <c r="AM14" s="2" t="s">
        <v>157</v>
      </c>
      <c r="AO14" s="8">
        <v>40982</v>
      </c>
      <c r="AP14" s="9" t="str">
        <f t="shared" ca="1" si="0"/>
        <v>14年1ヶ月</v>
      </c>
      <c r="AQ14" s="8">
        <v>26879</v>
      </c>
      <c r="AR14">
        <f t="shared" ca="1" si="1"/>
        <v>52</v>
      </c>
      <c r="AS14" t="s">
        <v>183</v>
      </c>
      <c r="AT14" t="str">
        <f t="shared" si="2"/>
        <v>横浜市戸塚区</v>
      </c>
      <c r="AU14" t="str">
        <f t="shared" si="3"/>
        <v>上矢部町４４０番地１ グランガーデン東戸塚６０６号</v>
      </c>
      <c r="AV14" t="s">
        <v>18</v>
      </c>
      <c r="AW14" s="32"/>
      <c r="AX14" s="32"/>
    </row>
    <row r="15" spans="1:79">
      <c r="A15" s="50" t="s">
        <v>452</v>
      </c>
      <c r="B15" s="51" t="s">
        <v>37</v>
      </c>
      <c r="C15" s="17">
        <v>2</v>
      </c>
      <c r="D15" s="45" t="s">
        <v>184</v>
      </c>
      <c r="E15" t="s">
        <v>438</v>
      </c>
      <c r="M15" s="19">
        <v>8</v>
      </c>
      <c r="T15" s="4" t="s">
        <v>334</v>
      </c>
      <c r="U15" s="4" t="s">
        <v>335</v>
      </c>
      <c r="AH15" s="2">
        <v>1300</v>
      </c>
      <c r="AI15" s="2">
        <v>1600</v>
      </c>
      <c r="AJ15" s="2"/>
      <c r="AK15" s="2"/>
      <c r="AM15" s="2" t="s">
        <v>325</v>
      </c>
      <c r="AO15" s="8">
        <v>40627</v>
      </c>
      <c r="AP15" s="9" t="str">
        <f t="shared" ca="1" si="0"/>
        <v>15年0ヶ月</v>
      </c>
      <c r="AQ15" s="8">
        <v>26972</v>
      </c>
      <c r="AR15">
        <f t="shared" ca="1" si="1"/>
        <v>52</v>
      </c>
      <c r="AS15" t="s">
        <v>185</v>
      </c>
      <c r="AT15" t="str">
        <f t="shared" si="2"/>
        <v>横浜市泉区</v>
      </c>
      <c r="AU15" t="str">
        <f t="shared" si="3"/>
        <v>岡津町７５番地９</v>
      </c>
      <c r="AV15" t="s">
        <v>38</v>
      </c>
      <c r="AW15" s="32"/>
      <c r="AX15" s="32"/>
    </row>
    <row r="16" spans="1:79">
      <c r="A16" s="50" t="s">
        <v>464</v>
      </c>
      <c r="B16" s="51" t="s">
        <v>39</v>
      </c>
      <c r="C16" s="17">
        <v>3</v>
      </c>
      <c r="D16" s="9" t="s">
        <v>186</v>
      </c>
      <c r="E16" t="s">
        <v>342</v>
      </c>
      <c r="L16" s="17">
        <v>4</v>
      </c>
      <c r="M16" s="3">
        <v>4</v>
      </c>
      <c r="T16" s="4" t="s">
        <v>523</v>
      </c>
      <c r="AA16" s="10">
        <v>2</v>
      </c>
      <c r="AH16" s="2">
        <v>1225</v>
      </c>
      <c r="AI16" s="2"/>
      <c r="AJ16" s="2"/>
      <c r="AK16" s="2"/>
      <c r="AM16" s="2" t="s">
        <v>157</v>
      </c>
      <c r="AO16" s="8">
        <v>45593</v>
      </c>
      <c r="AP16" s="9" t="str">
        <f t="shared" ca="1" si="0"/>
        <v>1年5ヶ月</v>
      </c>
      <c r="AQ16" s="8">
        <v>17661</v>
      </c>
      <c r="AR16">
        <f t="shared" ca="1" si="1"/>
        <v>77</v>
      </c>
      <c r="AS16" t="s">
        <v>187</v>
      </c>
      <c r="AT16" t="str">
        <f t="shared" si="2"/>
        <v>横浜市戸塚区</v>
      </c>
      <c r="AU16" t="str">
        <f t="shared" si="3"/>
        <v>汲沢町１０-２０</v>
      </c>
      <c r="AV16" t="s">
        <v>40</v>
      </c>
      <c r="AW16" s="32"/>
      <c r="AX16" s="32"/>
    </row>
    <row r="17" spans="1:50">
      <c r="A17" s="50" t="s">
        <v>465</v>
      </c>
      <c r="B17" s="51" t="s">
        <v>41</v>
      </c>
      <c r="C17" s="17">
        <v>4</v>
      </c>
      <c r="D17" s="42" t="s">
        <v>188</v>
      </c>
      <c r="E17" t="s">
        <v>342</v>
      </c>
      <c r="F17" t="s">
        <v>342</v>
      </c>
      <c r="G17" t="s">
        <v>344</v>
      </c>
      <c r="H17" t="s">
        <v>345</v>
      </c>
      <c r="I17" t="s">
        <v>346</v>
      </c>
      <c r="L17" s="17">
        <v>2</v>
      </c>
      <c r="M17" s="3">
        <v>1</v>
      </c>
      <c r="N17" s="3">
        <v>1</v>
      </c>
      <c r="O17" s="3">
        <v>1</v>
      </c>
      <c r="P17" s="3">
        <v>1</v>
      </c>
      <c r="Q17" s="3">
        <v>1</v>
      </c>
      <c r="T17" s="4" t="s">
        <v>524</v>
      </c>
      <c r="U17" s="4" t="s">
        <v>526</v>
      </c>
      <c r="V17" s="4" t="s">
        <v>578</v>
      </c>
      <c r="W17" s="4" t="s">
        <v>579</v>
      </c>
      <c r="X17" s="4" t="s">
        <v>577</v>
      </c>
      <c r="AA17" s="10">
        <v>2</v>
      </c>
      <c r="AB17" s="10">
        <v>1</v>
      </c>
      <c r="AC17" s="10">
        <v>2</v>
      </c>
      <c r="AD17" s="10">
        <v>2</v>
      </c>
      <c r="AE17" s="10">
        <v>1</v>
      </c>
      <c r="AH17" s="2">
        <v>1225</v>
      </c>
      <c r="AI17" s="2"/>
      <c r="AJ17" s="2"/>
      <c r="AK17" s="2"/>
      <c r="AL17" s="2"/>
      <c r="AM17" s="2" t="s">
        <v>160</v>
      </c>
      <c r="AO17" s="8">
        <v>45367</v>
      </c>
      <c r="AP17" s="9" t="str">
        <f t="shared" ca="1" si="0"/>
        <v>2年0ヶ月</v>
      </c>
      <c r="AQ17" s="8">
        <v>23152</v>
      </c>
      <c r="AR17">
        <f t="shared" ca="1" si="1"/>
        <v>62</v>
      </c>
      <c r="AS17" t="s">
        <v>189</v>
      </c>
      <c r="AT17" t="str">
        <f t="shared" si="2"/>
        <v>横浜市泉区</v>
      </c>
      <c r="AU17" t="str">
        <f t="shared" si="3"/>
        <v>和泉中田西４丁目７番1号</v>
      </c>
      <c r="AV17" t="s">
        <v>23</v>
      </c>
      <c r="AW17" s="32"/>
      <c r="AX17" s="32"/>
    </row>
    <row r="18" spans="1:50">
      <c r="A18" s="50" t="s">
        <v>466</v>
      </c>
      <c r="B18" s="51" t="s">
        <v>42</v>
      </c>
      <c r="C18" s="17">
        <v>1</v>
      </c>
      <c r="D18" s="9" t="s">
        <v>190</v>
      </c>
      <c r="E18" t="s">
        <v>582</v>
      </c>
      <c r="L18" s="17">
        <v>1</v>
      </c>
      <c r="M18" s="3">
        <v>1</v>
      </c>
      <c r="T18" s="4" t="s">
        <v>525</v>
      </c>
      <c r="AA18" s="10">
        <v>1</v>
      </c>
      <c r="AH18" s="2">
        <v>1225</v>
      </c>
      <c r="AI18" s="2"/>
      <c r="AJ18" s="2"/>
      <c r="AK18" s="2"/>
      <c r="AL18" s="2"/>
      <c r="AM18" s="2" t="s">
        <v>157</v>
      </c>
      <c r="AO18" s="8">
        <v>45901</v>
      </c>
      <c r="AP18" s="9" t="str">
        <f t="shared" ca="1" si="0"/>
        <v>0年7ヶ月</v>
      </c>
      <c r="AQ18" s="8">
        <v>19733</v>
      </c>
      <c r="AR18">
        <f t="shared" ca="1" si="1"/>
        <v>72</v>
      </c>
      <c r="AS18" t="s">
        <v>191</v>
      </c>
      <c r="AT18" t="str">
        <f t="shared" si="2"/>
        <v>横浜市南区</v>
      </c>
      <c r="AU18" t="str">
        <f t="shared" si="3"/>
        <v>庚台４９ひろみ荘</v>
      </c>
      <c r="AV18" t="s">
        <v>23</v>
      </c>
      <c r="AW18" s="32"/>
      <c r="AX18" s="32"/>
    </row>
    <row r="19" spans="1:50">
      <c r="A19" s="50" t="s">
        <v>467</v>
      </c>
      <c r="B19" s="51" t="s">
        <v>43</v>
      </c>
      <c r="C19" s="17">
        <v>2</v>
      </c>
      <c r="D19" s="9" t="s">
        <v>192</v>
      </c>
      <c r="E19" t="s">
        <v>583</v>
      </c>
      <c r="L19" s="17">
        <v>2</v>
      </c>
      <c r="M19" s="3">
        <v>2</v>
      </c>
      <c r="T19" s="4" t="s">
        <v>424</v>
      </c>
      <c r="AA19" s="10">
        <v>1</v>
      </c>
      <c r="AH19" s="2">
        <v>1225</v>
      </c>
      <c r="AI19" s="2"/>
      <c r="AJ19" s="2"/>
      <c r="AK19" s="2"/>
      <c r="AL19" s="2"/>
      <c r="AM19" s="2" t="s">
        <v>157</v>
      </c>
      <c r="AO19" s="8">
        <v>45845</v>
      </c>
      <c r="AP19" s="9" t="str">
        <f t="shared" ca="1" si="0"/>
        <v>0年9ヶ月</v>
      </c>
      <c r="AQ19" s="8">
        <v>19692</v>
      </c>
      <c r="AR19">
        <f t="shared" ca="1" si="1"/>
        <v>72</v>
      </c>
      <c r="AS19" t="s">
        <v>193</v>
      </c>
      <c r="AT19" t="str">
        <f t="shared" si="2"/>
        <v>神奈川県茅ケ崎市</v>
      </c>
      <c r="AU19" t="str">
        <f t="shared" si="3"/>
        <v>堤１７２５</v>
      </c>
      <c r="AV19" t="s">
        <v>44</v>
      </c>
      <c r="AW19" s="32"/>
      <c r="AX19" s="32"/>
    </row>
    <row r="20" spans="1:50">
      <c r="A20" s="50" t="s">
        <v>468</v>
      </c>
      <c r="B20" s="51" t="s">
        <v>45</v>
      </c>
      <c r="C20" s="17">
        <v>5</v>
      </c>
      <c r="D20" s="42" t="s">
        <v>194</v>
      </c>
      <c r="E20" t="s">
        <v>588</v>
      </c>
      <c r="F20" t="s">
        <v>589</v>
      </c>
      <c r="G20" t="s">
        <v>343</v>
      </c>
      <c r="H20" t="s">
        <v>343</v>
      </c>
      <c r="L20" s="17">
        <v>6</v>
      </c>
      <c r="M20" s="3">
        <v>5</v>
      </c>
      <c r="N20" s="3">
        <v>5</v>
      </c>
      <c r="O20" s="3">
        <v>2</v>
      </c>
      <c r="P20" s="3">
        <v>1</v>
      </c>
      <c r="T20" s="4" t="s">
        <v>529</v>
      </c>
      <c r="U20" s="4" t="s">
        <v>424</v>
      </c>
      <c r="V20" s="4" t="s">
        <v>425</v>
      </c>
      <c r="W20" s="4" t="s">
        <v>426</v>
      </c>
      <c r="AA20" s="10">
        <v>1.5</v>
      </c>
      <c r="AB20" s="10">
        <v>1</v>
      </c>
      <c r="AC20" s="10">
        <v>3</v>
      </c>
      <c r="AD20" s="10">
        <v>4</v>
      </c>
      <c r="AH20" s="2">
        <v>1225</v>
      </c>
      <c r="AI20" s="2"/>
      <c r="AJ20" s="2"/>
      <c r="AK20" s="2"/>
      <c r="AL20" s="2"/>
      <c r="AM20" s="2" t="s">
        <v>157</v>
      </c>
      <c r="AO20" s="8">
        <v>45138</v>
      </c>
      <c r="AP20" s="9" t="str">
        <f t="shared" ca="1" si="0"/>
        <v>2年8ヶ月</v>
      </c>
      <c r="AQ20" s="8">
        <v>21236</v>
      </c>
      <c r="AR20">
        <f t="shared" ca="1" si="1"/>
        <v>68</v>
      </c>
      <c r="AS20" t="s">
        <v>195</v>
      </c>
      <c r="AT20" t="str">
        <f t="shared" si="2"/>
        <v>横浜市栄区</v>
      </c>
      <c r="AU20" t="str">
        <f t="shared" si="3"/>
        <v>笠間３丁目２２番２７第５二本松荘１０１号</v>
      </c>
      <c r="AV20" t="s">
        <v>13</v>
      </c>
      <c r="AW20" s="32"/>
      <c r="AX20" s="32"/>
    </row>
    <row r="21" spans="1:50">
      <c r="A21" s="50" t="s">
        <v>520</v>
      </c>
      <c r="B21" s="51" t="s">
        <v>46</v>
      </c>
      <c r="C21" s="17">
        <v>3</v>
      </c>
      <c r="D21" s="9" t="s">
        <v>196</v>
      </c>
      <c r="E21" t="s">
        <v>587</v>
      </c>
      <c r="L21" s="17">
        <v>3</v>
      </c>
      <c r="M21" s="3">
        <v>3</v>
      </c>
      <c r="T21" s="4" t="s">
        <v>530</v>
      </c>
      <c r="AA21" s="10">
        <v>3</v>
      </c>
      <c r="AH21" s="2">
        <v>1225</v>
      </c>
      <c r="AI21" s="2"/>
      <c r="AJ21" s="2"/>
      <c r="AK21" s="2"/>
      <c r="AL21" s="2"/>
      <c r="AM21" s="2" t="s">
        <v>197</v>
      </c>
      <c r="AO21" s="8">
        <v>45140</v>
      </c>
      <c r="AP21" s="9" t="str">
        <f t="shared" ca="1" si="0"/>
        <v>2年8ヶ月</v>
      </c>
      <c r="AQ21" s="8">
        <v>32572</v>
      </c>
      <c r="AR21">
        <f t="shared" ca="1" si="1"/>
        <v>37</v>
      </c>
      <c r="AS21" t="s">
        <v>198</v>
      </c>
      <c r="AT21" t="str">
        <f t="shared" si="2"/>
        <v>横浜市戸塚区</v>
      </c>
      <c r="AU21" t="str">
        <f t="shared" si="3"/>
        <v>柏尾町１３５１番地６</v>
      </c>
      <c r="AV21" t="s">
        <v>47</v>
      </c>
      <c r="AW21" s="32"/>
      <c r="AX21" s="32"/>
    </row>
    <row r="22" spans="1:50">
      <c r="A22" s="50" t="s">
        <v>469</v>
      </c>
      <c r="B22" s="51" t="s">
        <v>48</v>
      </c>
      <c r="C22" s="17">
        <v>3</v>
      </c>
      <c r="D22" s="9" t="s">
        <v>199</v>
      </c>
      <c r="E22" t="s">
        <v>584</v>
      </c>
      <c r="L22" s="17">
        <v>3</v>
      </c>
      <c r="M22" s="3">
        <v>3</v>
      </c>
      <c r="T22" s="4" t="s">
        <v>531</v>
      </c>
      <c r="AA22" s="10">
        <v>3</v>
      </c>
      <c r="AH22" s="2">
        <v>1225</v>
      </c>
      <c r="AI22" s="2"/>
      <c r="AJ22" s="2"/>
      <c r="AK22" s="2"/>
      <c r="AL22" s="2"/>
      <c r="AM22" s="2" t="s">
        <v>157</v>
      </c>
      <c r="AO22" s="8">
        <v>45303</v>
      </c>
      <c r="AP22" s="9" t="str">
        <f t="shared" ca="1" si="0"/>
        <v>2年3ヶ月</v>
      </c>
      <c r="AQ22" s="8">
        <v>21021</v>
      </c>
      <c r="AR22">
        <f t="shared" ca="1" si="1"/>
        <v>68</v>
      </c>
      <c r="AS22" t="s">
        <v>590</v>
      </c>
      <c r="AT22" t="str">
        <f t="shared" si="2"/>
        <v>横浜市戸塚区</v>
      </c>
      <c r="AU22" t="str">
        <f t="shared" si="3"/>
        <v>戸塚町３６８０番地２ライオンズマンション戸塚第６－３０２号</v>
      </c>
      <c r="AV22" t="s">
        <v>595</v>
      </c>
      <c r="AW22" s="32"/>
      <c r="AX22" s="32"/>
    </row>
    <row r="23" spans="1:50">
      <c r="A23" s="50" t="s">
        <v>470</v>
      </c>
      <c r="B23" s="51" t="s">
        <v>49</v>
      </c>
      <c r="C23" s="17">
        <v>3</v>
      </c>
      <c r="D23" s="9" t="s">
        <v>200</v>
      </c>
      <c r="E23" t="s">
        <v>585</v>
      </c>
      <c r="L23" s="17">
        <v>3</v>
      </c>
      <c r="M23" s="3">
        <v>3</v>
      </c>
      <c r="T23" s="4" t="s">
        <v>526</v>
      </c>
      <c r="AA23" s="10">
        <v>1</v>
      </c>
      <c r="AH23" s="2">
        <v>1225</v>
      </c>
      <c r="AI23" s="2"/>
      <c r="AJ23" s="2"/>
      <c r="AK23" s="2"/>
      <c r="AL23" s="2"/>
      <c r="AM23" s="2" t="s">
        <v>157</v>
      </c>
      <c r="AO23" s="8">
        <v>45362</v>
      </c>
      <c r="AP23" s="9" t="str">
        <f t="shared" ca="1" si="0"/>
        <v>2年1ヶ月</v>
      </c>
      <c r="AQ23" s="8">
        <v>17201</v>
      </c>
      <c r="AR23">
        <f t="shared" ca="1" si="1"/>
        <v>79</v>
      </c>
      <c r="AS23" t="s">
        <v>201</v>
      </c>
      <c r="AT23" t="str">
        <f t="shared" si="2"/>
        <v>横浜市戸塚区</v>
      </c>
      <c r="AU23" t="str">
        <f t="shared" si="3"/>
        <v>戸塚町５０９５番地ラ・パルフェドシティーニュNo２-３１３号</v>
      </c>
      <c r="AV23" t="s">
        <v>13</v>
      </c>
      <c r="AW23" s="32"/>
      <c r="AX23" s="32"/>
    </row>
    <row r="24" spans="1:50">
      <c r="A24" s="50" t="s">
        <v>471</v>
      </c>
      <c r="B24" s="51" t="s">
        <v>50</v>
      </c>
      <c r="C24" s="17">
        <v>2</v>
      </c>
      <c r="D24" s="9" t="s">
        <v>202</v>
      </c>
      <c r="E24" t="s">
        <v>586</v>
      </c>
      <c r="L24" s="17">
        <v>2</v>
      </c>
      <c r="M24" s="3">
        <v>2</v>
      </c>
      <c r="T24" s="4" t="s">
        <v>532</v>
      </c>
      <c r="AA24" s="10">
        <v>2</v>
      </c>
      <c r="AH24" s="2">
        <v>1225</v>
      </c>
      <c r="AI24" s="2"/>
      <c r="AJ24" s="2"/>
      <c r="AK24" s="2"/>
      <c r="AL24" s="2"/>
      <c r="AM24" s="2" t="s">
        <v>160</v>
      </c>
      <c r="AO24" s="8">
        <v>45362</v>
      </c>
      <c r="AP24" s="9" t="str">
        <f t="shared" ca="1" si="0"/>
        <v>2年1ヶ月</v>
      </c>
      <c r="AQ24" s="8">
        <v>24987</v>
      </c>
      <c r="AR24">
        <f t="shared" ca="1" si="1"/>
        <v>57</v>
      </c>
      <c r="AS24" t="s">
        <v>203</v>
      </c>
      <c r="AT24" t="str">
        <f t="shared" si="2"/>
        <v>横浜市都筑区</v>
      </c>
      <c r="AU24" t="str">
        <f t="shared" si="3"/>
        <v>北山田３丁目２７番４山田富士公園ハイツ４号棟</v>
      </c>
      <c r="AV24" t="s">
        <v>51</v>
      </c>
      <c r="AW24" s="32"/>
      <c r="AX24" s="32"/>
    </row>
    <row r="25" spans="1:50">
      <c r="A25" s="50" t="s">
        <v>472</v>
      </c>
      <c r="B25" s="51" t="s">
        <v>52</v>
      </c>
      <c r="C25" s="17">
        <v>3</v>
      </c>
      <c r="D25" s="42" t="s">
        <v>204</v>
      </c>
      <c r="E25" t="s">
        <v>354</v>
      </c>
      <c r="F25" t="s">
        <v>354</v>
      </c>
      <c r="L25" s="17">
        <v>2</v>
      </c>
      <c r="M25" s="3">
        <v>1</v>
      </c>
      <c r="N25" s="3">
        <v>1</v>
      </c>
      <c r="T25" s="4" t="s">
        <v>430</v>
      </c>
      <c r="U25" s="4" t="s">
        <v>431</v>
      </c>
      <c r="AA25" s="10">
        <v>4</v>
      </c>
      <c r="AB25" s="10">
        <v>3</v>
      </c>
      <c r="AH25" s="2">
        <v>1300</v>
      </c>
      <c r="AI25" s="2"/>
      <c r="AJ25" s="2"/>
      <c r="AK25" s="2"/>
      <c r="AL25" s="2"/>
      <c r="AM25" s="2" t="s">
        <v>157</v>
      </c>
      <c r="AO25" s="8">
        <v>41862</v>
      </c>
      <c r="AP25" s="9" t="str">
        <f t="shared" ca="1" si="0"/>
        <v>11年8ヶ月</v>
      </c>
      <c r="AQ25" s="8">
        <v>19079</v>
      </c>
      <c r="AR25">
        <f t="shared" ca="1" si="1"/>
        <v>74</v>
      </c>
      <c r="AS25" t="s">
        <v>205</v>
      </c>
      <c r="AT25" t="str">
        <f t="shared" si="2"/>
        <v>横浜市港南区</v>
      </c>
      <c r="AU25" t="str">
        <f t="shared" si="3"/>
        <v>日野５丁目２－７サンブリッジ貴奈美３０５号</v>
      </c>
      <c r="AV25" t="s">
        <v>53</v>
      </c>
      <c r="AW25" s="32"/>
      <c r="AX25" s="32"/>
    </row>
    <row r="26" spans="1:50" ht="17.399999999999999" customHeight="1">
      <c r="A26" s="50" t="s">
        <v>473</v>
      </c>
      <c r="B26" s="51" t="s">
        <v>54</v>
      </c>
      <c r="C26" s="17">
        <v>4</v>
      </c>
      <c r="D26" s="9" t="s">
        <v>206</v>
      </c>
      <c r="E26" t="s">
        <v>354</v>
      </c>
      <c r="L26" s="17">
        <v>3</v>
      </c>
      <c r="M26" s="3">
        <v>3</v>
      </c>
      <c r="T26" s="4" t="s">
        <v>431</v>
      </c>
      <c r="AA26" s="10">
        <v>3</v>
      </c>
      <c r="AH26" s="2">
        <v>1300</v>
      </c>
      <c r="AI26" s="2"/>
      <c r="AJ26" s="2"/>
      <c r="AK26" s="2"/>
      <c r="AL26" s="2"/>
      <c r="AM26" s="2" t="s">
        <v>207</v>
      </c>
      <c r="AO26" s="8">
        <v>43650</v>
      </c>
      <c r="AP26" s="9" t="str">
        <f t="shared" ref="AP26:AP28" ca="1" si="4">DATEDIF(AO26,TODAY(),"Y")&amp;"年"&amp;DATEDIF(AO26,TODAY(),"YM")&amp;"ヶ月"</f>
        <v>6年9ヶ月</v>
      </c>
      <c r="AQ26" s="8">
        <v>16982</v>
      </c>
      <c r="AR26">
        <f t="shared" ref="AR26:AR28" ca="1" si="5">DATEDIF(AQ26,TODAY(),"Y")</f>
        <v>79</v>
      </c>
      <c r="AS26" t="s">
        <v>55</v>
      </c>
      <c r="AT26" t="str">
        <f t="shared" ref="AT26:AT28" si="6">IF(COUNTIF(AS26,"*区*"),LEFT(AS26,FIND("区",AS26)),IF(COUNTIF(AS26,"*市*"),LEFT(AS26,FIND("市",AS26)),IF(COUNTIF(AS26,"*郡*"),LEFT(AS26,FIND("郡",AS26)),"エラー")))</f>
        <v>横浜市戸塚区</v>
      </c>
      <c r="AU26" t="str">
        <f t="shared" ref="AU26:AU28" si="7">RIGHT(AS26,LEN(AS26)-LEN(AT26))</f>
        <v>下倉田５５３番地第１３山仁ハイツ３０３号</v>
      </c>
      <c r="AV26" t="s">
        <v>12</v>
      </c>
      <c r="AW26" s="32"/>
      <c r="AX26" s="32"/>
    </row>
    <row r="27" spans="1:50" ht="17.399999999999999" customHeight="1">
      <c r="A27" s="50" t="s">
        <v>474</v>
      </c>
      <c r="B27" s="51" t="s">
        <v>56</v>
      </c>
      <c r="C27" s="17">
        <v>1</v>
      </c>
      <c r="D27" s="9" t="s">
        <v>208</v>
      </c>
      <c r="E27" t="s">
        <v>354</v>
      </c>
      <c r="L27" s="17">
        <v>1</v>
      </c>
      <c r="M27" s="3">
        <v>1</v>
      </c>
      <c r="T27" s="4" t="s">
        <v>431</v>
      </c>
      <c r="AA27" s="10">
        <v>3</v>
      </c>
      <c r="AH27" s="2">
        <v>1300</v>
      </c>
      <c r="AI27" s="2"/>
      <c r="AJ27" s="2"/>
      <c r="AK27" s="2"/>
      <c r="AL27" s="2"/>
      <c r="AM27" s="2" t="s">
        <v>157</v>
      </c>
      <c r="AO27" s="8">
        <v>45855</v>
      </c>
      <c r="AP27" s="9" t="str">
        <f t="shared" ca="1" si="4"/>
        <v>0年8ヶ月</v>
      </c>
      <c r="AQ27" s="8">
        <v>15723</v>
      </c>
      <c r="AR27">
        <f t="shared" ca="1" si="5"/>
        <v>83</v>
      </c>
      <c r="AS27" t="s">
        <v>209</v>
      </c>
      <c r="AT27" t="str">
        <f t="shared" si="6"/>
        <v>横浜市保土ヶ谷区</v>
      </c>
      <c r="AU27" t="str">
        <f t="shared" si="7"/>
        <v>川島町６５１番地ハイム向台１３－２０３号</v>
      </c>
      <c r="AV27" t="s">
        <v>57</v>
      </c>
      <c r="AW27" s="32"/>
      <c r="AX27" s="32"/>
    </row>
    <row r="28" spans="1:50" ht="17.399999999999999" customHeight="1">
      <c r="A28" s="50" t="s">
        <v>475</v>
      </c>
      <c r="B28" s="51" t="s">
        <v>58</v>
      </c>
      <c r="C28" s="17">
        <v>4</v>
      </c>
      <c r="D28" s="42" t="s">
        <v>210</v>
      </c>
      <c r="E28" t="s">
        <v>347</v>
      </c>
      <c r="F28" t="s">
        <v>580</v>
      </c>
      <c r="L28" s="17">
        <v>4</v>
      </c>
      <c r="M28" s="3">
        <v>4</v>
      </c>
      <c r="N28" s="7" t="s">
        <v>332</v>
      </c>
      <c r="T28" s="4" t="s">
        <v>575</v>
      </c>
      <c r="U28" s="4" t="s">
        <v>523</v>
      </c>
      <c r="AA28" s="10">
        <v>3.5</v>
      </c>
      <c r="AB28" s="10">
        <v>2</v>
      </c>
      <c r="AH28" s="2">
        <v>1225</v>
      </c>
      <c r="AI28" s="2"/>
      <c r="AJ28" s="2"/>
      <c r="AK28" s="2"/>
      <c r="AL28" s="2"/>
      <c r="AM28" s="2" t="s">
        <v>157</v>
      </c>
      <c r="AO28" s="8">
        <v>45809</v>
      </c>
      <c r="AP28" s="9" t="str">
        <f t="shared" ca="1" si="4"/>
        <v>0年10ヶ月</v>
      </c>
      <c r="AQ28" s="8">
        <v>19493</v>
      </c>
      <c r="AR28">
        <f t="shared" ca="1" si="5"/>
        <v>72</v>
      </c>
      <c r="AS28" t="s">
        <v>211</v>
      </c>
      <c r="AT28" t="str">
        <f t="shared" si="6"/>
        <v>横浜市戸塚区</v>
      </c>
      <c r="AU28" t="str">
        <f t="shared" si="7"/>
        <v>名瀬町７９１番地名瀬住宅９棟１０５号</v>
      </c>
      <c r="AV28" t="s">
        <v>59</v>
      </c>
      <c r="AW28" s="32"/>
      <c r="AX28" s="32"/>
    </row>
    <row r="29" spans="1:50" ht="17.399999999999999" customHeight="1">
      <c r="A29" s="50" t="s">
        <v>422</v>
      </c>
      <c r="B29" s="51" t="s">
        <v>60</v>
      </c>
      <c r="C29" s="17">
        <v>5</v>
      </c>
      <c r="D29" s="54" t="s">
        <v>212</v>
      </c>
      <c r="E29" t="s">
        <v>349</v>
      </c>
      <c r="F29" t="s">
        <v>348</v>
      </c>
      <c r="G29" t="s">
        <v>339</v>
      </c>
      <c r="H29" t="s">
        <v>350</v>
      </c>
      <c r="I29" t="s">
        <v>351</v>
      </c>
      <c r="J29" t="s">
        <v>352</v>
      </c>
      <c r="L29" s="17">
        <v>6</v>
      </c>
      <c r="M29" s="3">
        <v>2</v>
      </c>
      <c r="N29" s="3">
        <v>1</v>
      </c>
      <c r="O29" s="3">
        <v>3</v>
      </c>
      <c r="P29" s="3">
        <v>1</v>
      </c>
      <c r="Q29" s="3">
        <v>3</v>
      </c>
      <c r="R29" s="3">
        <v>1</v>
      </c>
      <c r="T29" s="4" t="s">
        <v>576</v>
      </c>
      <c r="U29" s="4" t="s">
        <v>577</v>
      </c>
      <c r="V29" s="4" t="s">
        <v>425</v>
      </c>
      <c r="W29" s="4" t="s">
        <v>427</v>
      </c>
      <c r="X29" s="4" t="s">
        <v>428</v>
      </c>
      <c r="Y29" s="4" t="s">
        <v>429</v>
      </c>
      <c r="AA29" s="10">
        <v>2.5</v>
      </c>
      <c r="AB29" s="10">
        <v>1</v>
      </c>
      <c r="AC29" s="10">
        <v>3</v>
      </c>
      <c r="AD29" s="10">
        <v>1.5</v>
      </c>
      <c r="AE29" s="10">
        <v>1</v>
      </c>
      <c r="AF29" s="10">
        <v>1</v>
      </c>
      <c r="AH29" s="2">
        <v>1225</v>
      </c>
      <c r="AI29" s="2">
        <v>1300</v>
      </c>
      <c r="AJ29" s="2"/>
      <c r="AK29" s="2"/>
      <c r="AL29" s="2"/>
      <c r="AM29" s="2" t="s">
        <v>157</v>
      </c>
      <c r="AN29" t="s">
        <v>159</v>
      </c>
      <c r="AO29" s="8">
        <v>42450</v>
      </c>
      <c r="AP29" s="9" t="str">
        <f ca="1">DATEDIF(AO29,TODAY(),"Y")&amp;"年"&amp;DATEDIF(AO29,TODAY(),"YM")&amp;"ヶ月"</f>
        <v>10年0ヶ月</v>
      </c>
      <c r="AQ29" s="8">
        <v>17505</v>
      </c>
      <c r="AR29">
        <f ca="1">DATEDIF(AQ29,TODAY(),"Y")</f>
        <v>78</v>
      </c>
      <c r="AS29" t="s">
        <v>213</v>
      </c>
      <c r="AT29" t="str">
        <f>IF(COUNTIF(AS29,"*区*"),LEFT(AS29,FIND("区",AS29)),IF(COUNTIF(AS29,"*市*"),LEFT(AS29,FIND("市",AS29)),IF(COUNTIF(AS29,"*郡*"),LEFT(AS29,FIND("郡",AS29)),"エラー")))</f>
        <v>横浜市戸塚区</v>
      </c>
      <c r="AU29" t="str">
        <f>RIGHT(AS29,LEN(AS29)-LEN(AT29))</f>
        <v>矢部町６００番地２</v>
      </c>
      <c r="AV29" t="s">
        <v>19</v>
      </c>
      <c r="AW29" s="32"/>
      <c r="AX29" s="32"/>
    </row>
    <row r="30" spans="1:50">
      <c r="A30" s="50" t="s">
        <v>476</v>
      </c>
      <c r="B30" s="51" t="s">
        <v>61</v>
      </c>
      <c r="C30" s="17">
        <v>2</v>
      </c>
      <c r="D30" s="42" t="s">
        <v>214</v>
      </c>
      <c r="E30" t="s">
        <v>349</v>
      </c>
      <c r="F30" t="s">
        <v>348</v>
      </c>
      <c r="L30" s="17">
        <v>2</v>
      </c>
      <c r="M30" s="3">
        <v>2</v>
      </c>
      <c r="N30" s="3">
        <v>1</v>
      </c>
      <c r="T30" s="4" t="s">
        <v>576</v>
      </c>
      <c r="U30" s="4" t="s">
        <v>577</v>
      </c>
      <c r="AA30" s="10">
        <v>2.5</v>
      </c>
      <c r="AB30" s="10">
        <v>1</v>
      </c>
      <c r="AH30" s="2">
        <v>1225</v>
      </c>
      <c r="AI30" s="2"/>
      <c r="AJ30" s="2"/>
      <c r="AK30" s="2"/>
      <c r="AL30" s="2"/>
      <c r="AM30" s="2" t="s">
        <v>157</v>
      </c>
      <c r="AO30" s="8">
        <v>45826</v>
      </c>
      <c r="AP30" s="9" t="str">
        <f ca="1">DATEDIF(AO30,TODAY(),"Y")&amp;"年"&amp;DATEDIF(AO30,TODAY(),"YM")&amp;"ヶ月"</f>
        <v>0年9ヶ月</v>
      </c>
      <c r="AQ30" s="8">
        <v>16072</v>
      </c>
      <c r="AR30">
        <f ca="1">DATEDIF(AQ30,TODAY(),"Y")</f>
        <v>82</v>
      </c>
      <c r="AS30" t="s">
        <v>215</v>
      </c>
      <c r="AT30" t="str">
        <f>IF(COUNTIF(AS30,"*区*"),LEFT(AS30,FIND("区",AS30)),IF(COUNTIF(AS30,"*市*"),LEFT(AS30,FIND("市",AS30)),IF(COUNTIF(AS30,"*郡*"),LEFT(AS30,FIND("郡",AS30)),"エラー")))</f>
        <v>横浜市戸塚区</v>
      </c>
      <c r="AU30" t="str">
        <f>RIGHT(AS30,LEN(AS30)-LEN(AT30))</f>
        <v>名瀬町７９５番地３</v>
      </c>
      <c r="AV30" t="s">
        <v>59</v>
      </c>
      <c r="AW30" s="32"/>
      <c r="AX30" s="32"/>
    </row>
    <row r="31" spans="1:50">
      <c r="A31" s="50" t="s">
        <v>477</v>
      </c>
      <c r="B31" s="51" t="s">
        <v>62</v>
      </c>
      <c r="C31" s="17">
        <v>1</v>
      </c>
      <c r="D31" s="42" t="s">
        <v>216</v>
      </c>
      <c r="E31" t="s">
        <v>347</v>
      </c>
      <c r="F31" t="s">
        <v>349</v>
      </c>
      <c r="G31" t="s">
        <v>348</v>
      </c>
      <c r="L31" s="17">
        <v>2</v>
      </c>
      <c r="M31" s="3">
        <v>1</v>
      </c>
      <c r="N31" s="3">
        <v>1</v>
      </c>
      <c r="O31" s="3">
        <v>1</v>
      </c>
      <c r="T31" s="4" t="s">
        <v>575</v>
      </c>
      <c r="U31" s="4" t="s">
        <v>576</v>
      </c>
      <c r="V31" s="4" t="s">
        <v>577</v>
      </c>
      <c r="AA31" s="10">
        <v>3.5</v>
      </c>
      <c r="AB31" s="10">
        <v>2.5</v>
      </c>
      <c r="AC31" s="10">
        <v>1</v>
      </c>
      <c r="AH31" s="2">
        <v>1225</v>
      </c>
      <c r="AI31" s="2"/>
      <c r="AJ31" s="2"/>
      <c r="AK31" s="2"/>
      <c r="AL31" s="2"/>
      <c r="AM31" s="2" t="s">
        <v>157</v>
      </c>
      <c r="AO31" s="8">
        <v>45833</v>
      </c>
      <c r="AP31" s="9" t="str">
        <f ca="1">DATEDIF(AO31,TODAY(),"Y")&amp;"年"&amp;DATEDIF(AO31,TODAY(),"YM")&amp;"ヶ月"</f>
        <v>0年9ヶ月</v>
      </c>
      <c r="AQ31" s="8">
        <v>16717</v>
      </c>
      <c r="AR31">
        <f ca="1">DATEDIF(AQ31,TODAY(),"Y")</f>
        <v>80</v>
      </c>
      <c r="AS31" t="s">
        <v>217</v>
      </c>
      <c r="AT31" t="str">
        <f>IF(COUNTIF(AS31,"*区*"),LEFT(AS31,FIND("区",AS31)),IF(COUNTIF(AS31,"*市*"),LEFT(AS31,FIND("市",AS31)),IF(COUNTIF(AS31,"*郡*"),LEFT(AS31,FIND("郡",AS31)),"エラー")))</f>
        <v>横浜市泉区</v>
      </c>
      <c r="AU31" t="str">
        <f>RIGHT(AS31,LEN(AS31)-LEN(AT31))</f>
        <v>上飯田町１３３１番地４１棟４０３号</v>
      </c>
      <c r="AV31" t="s">
        <v>16</v>
      </c>
      <c r="AW31" s="32"/>
      <c r="AX31" s="32"/>
    </row>
    <row r="32" spans="1:50">
      <c r="A32" s="50" t="s">
        <v>478</v>
      </c>
      <c r="B32" s="51" t="s">
        <v>63</v>
      </c>
      <c r="C32" s="17">
        <v>1</v>
      </c>
      <c r="D32" s="42" t="s">
        <v>218</v>
      </c>
      <c r="E32" t="s">
        <v>581</v>
      </c>
      <c r="F32" t="s">
        <v>349</v>
      </c>
      <c r="L32" s="17">
        <v>2</v>
      </c>
      <c r="M32" s="3">
        <v>1</v>
      </c>
      <c r="N32" s="3">
        <v>1</v>
      </c>
      <c r="T32" s="4" t="s">
        <v>523</v>
      </c>
      <c r="U32" s="4" t="s">
        <v>576</v>
      </c>
      <c r="AA32" s="10">
        <v>2</v>
      </c>
      <c r="AB32" s="10">
        <v>2.5</v>
      </c>
      <c r="AH32" s="2">
        <v>1225</v>
      </c>
      <c r="AI32" s="2"/>
      <c r="AJ32" s="2"/>
      <c r="AK32" s="2"/>
      <c r="AL32" s="2"/>
      <c r="AM32" s="2" t="s">
        <v>160</v>
      </c>
      <c r="AO32" s="8">
        <v>45998</v>
      </c>
      <c r="AP32" s="9" t="str">
        <f ca="1">DATEDIF(AO32,TODAY(),"Y")&amp;"年"&amp;DATEDIF(AO32,TODAY(),"YM")&amp;"ヶ月"</f>
        <v>0年4ヶ月</v>
      </c>
      <c r="AQ32" s="8">
        <v>15700</v>
      </c>
      <c r="AR32">
        <f ca="1">DATEDIF(AQ32,TODAY(),"Y")</f>
        <v>83</v>
      </c>
      <c r="AS32" t="s">
        <v>219</v>
      </c>
      <c r="AT32" t="str">
        <f>IF(COUNTIF(AS32,"*区*"),LEFT(AS32,FIND("区",AS32)),IF(COUNTIF(AS32,"*市*"),LEFT(AS32,FIND("市",AS32)),IF(COUNTIF(AS32,"*郡*"),LEFT(AS32,FIND("郡",AS32)),"エラー")))</f>
        <v>横浜市磯子区</v>
      </c>
      <c r="AU32" t="str">
        <f>RIGHT(AS32,LEN(AS32)-LEN(AT32))</f>
        <v>上中里１０２８番地１５上中里団地１５１２</v>
      </c>
      <c r="AV32" t="s">
        <v>16</v>
      </c>
      <c r="AW32" s="32"/>
      <c r="AX32" s="32"/>
    </row>
    <row r="33" spans="1:55">
      <c r="A33" s="50" t="s">
        <v>567</v>
      </c>
      <c r="B33" s="51" t="s">
        <v>64</v>
      </c>
      <c r="C33" s="17">
        <v>5</v>
      </c>
      <c r="D33" s="42" t="s">
        <v>220</v>
      </c>
      <c r="E33" t="s">
        <v>353</v>
      </c>
      <c r="F33" t="s">
        <v>353</v>
      </c>
      <c r="L33" s="17">
        <v>5</v>
      </c>
      <c r="M33" s="3">
        <v>2</v>
      </c>
      <c r="N33" s="3">
        <v>3</v>
      </c>
      <c r="T33" s="4" t="s">
        <v>533</v>
      </c>
      <c r="U33" s="4" t="s">
        <v>536</v>
      </c>
      <c r="AA33" s="10">
        <v>3</v>
      </c>
      <c r="AB33" s="10">
        <v>2</v>
      </c>
      <c r="AH33" s="2">
        <v>1300</v>
      </c>
      <c r="AI33" s="2"/>
      <c r="AJ33" s="2"/>
      <c r="AK33" s="2"/>
      <c r="AL33" s="2"/>
      <c r="AM33" s="2" t="s">
        <v>157</v>
      </c>
      <c r="AN33" t="s">
        <v>221</v>
      </c>
      <c r="AO33" s="8">
        <v>44358</v>
      </c>
      <c r="AP33" s="9" t="str">
        <f ca="1">DATEDIF(AO33,TODAY(),"Y")&amp;"年"&amp;DATEDIF(AO33,TODAY(),"YM")&amp;"ヶ月"</f>
        <v>4年10ヶ月</v>
      </c>
      <c r="AQ33" s="8">
        <v>27622</v>
      </c>
      <c r="AR33">
        <f ca="1">DATEDIF(AQ33,TODAY(),"Y")</f>
        <v>50</v>
      </c>
      <c r="AS33" t="s">
        <v>222</v>
      </c>
      <c r="AT33" t="str">
        <f>IF(COUNTIF(AS33,"*区*"),LEFT(AS33,FIND("区",AS33)),IF(COUNTIF(AS33,"*市*"),LEFT(AS33,FIND("市",AS33)),IF(COUNTIF(AS33,"*郡*"),LEFT(AS33,FIND("郡",AS33)),"エラー")))</f>
        <v>横浜市南区</v>
      </c>
      <c r="AU33" t="str">
        <f>RIGHT(AS33,LEN(AS33)-LEN(AT33))</f>
        <v>別所中里台２４番６号メゾンドアンドレスC２０２号</v>
      </c>
      <c r="AV33" t="s">
        <v>65</v>
      </c>
      <c r="AW33" s="32"/>
      <c r="AX33" s="32"/>
    </row>
    <row r="34" spans="1:55">
      <c r="A34" s="50" t="s">
        <v>479</v>
      </c>
      <c r="B34" s="51" t="s">
        <v>66</v>
      </c>
      <c r="C34" s="17">
        <v>5</v>
      </c>
      <c r="D34" s="9" t="s">
        <v>223</v>
      </c>
      <c r="E34" t="s">
        <v>353</v>
      </c>
      <c r="L34" s="17">
        <v>5</v>
      </c>
      <c r="M34" s="3">
        <v>5</v>
      </c>
      <c r="T34" s="4" t="s">
        <v>534</v>
      </c>
      <c r="AA34" s="10">
        <v>3</v>
      </c>
      <c r="AH34" s="2">
        <v>1225</v>
      </c>
      <c r="AI34" s="2"/>
      <c r="AJ34" s="2"/>
      <c r="AK34" s="2"/>
      <c r="AL34" s="2"/>
      <c r="AM34" s="2" t="s">
        <v>157</v>
      </c>
      <c r="AO34" s="8">
        <v>42430</v>
      </c>
      <c r="AP34" s="9" t="str">
        <f t="shared" ref="AP34:AP37" ca="1" si="8">DATEDIF(AO34,TODAY(),"Y")&amp;"年"&amp;DATEDIF(AO34,TODAY(),"YM")&amp;"ヶ月"</f>
        <v>10年1ヶ月</v>
      </c>
      <c r="AQ34" s="8">
        <v>17600</v>
      </c>
      <c r="AR34">
        <f t="shared" ref="AR34:AR37" ca="1" si="9">DATEDIF(AQ34,TODAY(),"Y")</f>
        <v>78</v>
      </c>
      <c r="AS34" t="s">
        <v>224</v>
      </c>
      <c r="AT34" t="str">
        <f t="shared" ref="AT34:AT37" si="10">IF(COUNTIF(AS34,"*区*"),LEFT(AS34,FIND("区",AS34)),IF(COUNTIF(AS34,"*市*"),LEFT(AS34,FIND("市",AS34)),IF(COUNTIF(AS34,"*郡*"),LEFT(AS34,FIND("郡",AS34)),"エラー")))</f>
        <v>横浜市西区</v>
      </c>
      <c r="AU34" t="str">
        <f t="shared" ref="AU34:AU37" si="11">RIGHT(AS34,LEN(AS34)-LEN(AT34))</f>
        <v>境之谷１１３番地</v>
      </c>
      <c r="AV34" t="s">
        <v>67</v>
      </c>
      <c r="AW34" s="32"/>
      <c r="AX34" s="32"/>
    </row>
    <row r="35" spans="1:55">
      <c r="A35" s="50" t="s">
        <v>480</v>
      </c>
      <c r="B35" s="51" t="s">
        <v>68</v>
      </c>
      <c r="C35" s="17">
        <v>5</v>
      </c>
      <c r="D35" s="9" t="s">
        <v>225</v>
      </c>
      <c r="E35" t="s">
        <v>353</v>
      </c>
      <c r="L35" s="17">
        <v>5</v>
      </c>
      <c r="M35" s="3">
        <v>5</v>
      </c>
      <c r="T35" s="4" t="s">
        <v>535</v>
      </c>
      <c r="AA35" s="10">
        <v>3</v>
      </c>
      <c r="AH35" s="2">
        <v>1225</v>
      </c>
      <c r="AI35" s="2"/>
      <c r="AJ35" s="2"/>
      <c r="AK35" s="2"/>
      <c r="AL35" s="2"/>
      <c r="AM35" s="2" t="s">
        <v>157</v>
      </c>
      <c r="AO35" s="8">
        <v>44109</v>
      </c>
      <c r="AP35" s="9" t="str">
        <f t="shared" ca="1" si="8"/>
        <v>5年6ヶ月</v>
      </c>
      <c r="AQ35" s="8">
        <v>21094</v>
      </c>
      <c r="AR35">
        <f t="shared" ca="1" si="9"/>
        <v>68</v>
      </c>
      <c r="AS35" t="s">
        <v>226</v>
      </c>
      <c r="AT35" t="str">
        <f t="shared" si="10"/>
        <v>横浜市西区</v>
      </c>
      <c r="AU35" t="str">
        <f t="shared" si="11"/>
        <v>戸部町２丁目４０番　 １階</v>
      </c>
      <c r="AV35" t="s">
        <v>69</v>
      </c>
      <c r="AW35" s="32"/>
      <c r="AX35" s="32"/>
    </row>
    <row r="36" spans="1:55">
      <c r="A36" s="50" t="s">
        <v>481</v>
      </c>
      <c r="B36" s="51" t="s">
        <v>70</v>
      </c>
      <c r="C36" s="17">
        <v>2</v>
      </c>
      <c r="D36" s="9" t="s">
        <v>227</v>
      </c>
      <c r="E36" t="s">
        <v>353</v>
      </c>
      <c r="L36" s="17">
        <v>1</v>
      </c>
      <c r="M36" s="3">
        <v>1</v>
      </c>
      <c r="T36" s="4" t="s">
        <v>536</v>
      </c>
      <c r="AA36" s="10">
        <v>2</v>
      </c>
      <c r="AH36" s="2">
        <v>1300</v>
      </c>
      <c r="AI36" s="2"/>
      <c r="AJ36" s="2"/>
      <c r="AK36" s="2"/>
      <c r="AL36" s="2"/>
      <c r="AM36" s="2" t="s">
        <v>160</v>
      </c>
      <c r="AO36" s="8">
        <v>45504</v>
      </c>
      <c r="AP36" s="9" t="str">
        <f t="shared" ca="1" si="8"/>
        <v>1年8ヶ月</v>
      </c>
      <c r="AQ36" s="8">
        <v>27647</v>
      </c>
      <c r="AR36">
        <f t="shared" ca="1" si="9"/>
        <v>50</v>
      </c>
      <c r="AS36" t="s">
        <v>228</v>
      </c>
      <c r="AT36" t="str">
        <f t="shared" si="10"/>
        <v>鎌倉市</v>
      </c>
      <c r="AU36" t="str">
        <f t="shared" si="11"/>
        <v>佐助一丁目７番１　ルザ鎌倉３０２号</v>
      </c>
      <c r="AV36" t="s">
        <v>71</v>
      </c>
      <c r="AW36" s="32"/>
      <c r="AX36" s="32"/>
    </row>
    <row r="37" spans="1:55">
      <c r="A37" s="50" t="s">
        <v>482</v>
      </c>
      <c r="B37" s="51" t="s">
        <v>72</v>
      </c>
      <c r="C37" s="17">
        <v>2</v>
      </c>
      <c r="D37" s="9" t="s">
        <v>229</v>
      </c>
      <c r="E37" t="s">
        <v>353</v>
      </c>
      <c r="L37" s="17">
        <v>2</v>
      </c>
      <c r="M37" s="3">
        <v>2</v>
      </c>
      <c r="T37" s="4" t="s">
        <v>536</v>
      </c>
      <c r="AA37" s="10">
        <v>2</v>
      </c>
      <c r="AH37" s="2">
        <v>1300</v>
      </c>
      <c r="AI37" s="2"/>
      <c r="AJ37" s="2"/>
      <c r="AK37" s="2"/>
      <c r="AL37" s="2"/>
      <c r="AM37" s="2" t="s">
        <v>157</v>
      </c>
      <c r="AO37" s="8">
        <v>45819</v>
      </c>
      <c r="AP37" s="9" t="str">
        <f t="shared" ca="1" si="8"/>
        <v>0年10ヶ月</v>
      </c>
      <c r="AQ37" s="8">
        <v>17591</v>
      </c>
      <c r="AR37">
        <f t="shared" ca="1" si="9"/>
        <v>78</v>
      </c>
      <c r="AS37" t="s">
        <v>230</v>
      </c>
      <c r="AT37" t="str">
        <f t="shared" si="10"/>
        <v>横浜市西区</v>
      </c>
      <c r="AU37" t="str">
        <f t="shared" si="11"/>
        <v>東久保町１６ー３１</v>
      </c>
      <c r="AV37" t="s">
        <v>71</v>
      </c>
      <c r="AW37" s="32"/>
      <c r="AX37" s="32"/>
    </row>
    <row r="38" spans="1:55">
      <c r="A38" s="50" t="s">
        <v>483</v>
      </c>
      <c r="B38" s="51" t="s">
        <v>73</v>
      </c>
      <c r="C38" s="17">
        <v>5</v>
      </c>
      <c r="D38" s="42" t="s">
        <v>231</v>
      </c>
      <c r="E38" t="s">
        <v>355</v>
      </c>
      <c r="F38" t="s">
        <v>355</v>
      </c>
      <c r="L38" s="17">
        <v>6</v>
      </c>
      <c r="M38" s="3">
        <v>5</v>
      </c>
      <c r="N38" s="3">
        <v>1</v>
      </c>
      <c r="T38" s="4" t="s">
        <v>537</v>
      </c>
      <c r="U38" s="4" t="s">
        <v>538</v>
      </c>
      <c r="AA38" s="10">
        <v>7</v>
      </c>
      <c r="AB38" s="10">
        <v>4</v>
      </c>
      <c r="AH38" s="2">
        <v>1225</v>
      </c>
      <c r="AI38" s="2"/>
      <c r="AJ38" s="2"/>
      <c r="AK38" s="2"/>
      <c r="AL38" s="2"/>
      <c r="AM38" s="2" t="s">
        <v>157</v>
      </c>
      <c r="AN38" t="s">
        <v>158</v>
      </c>
      <c r="AO38" s="8">
        <v>43064</v>
      </c>
      <c r="AP38" s="9" t="str">
        <f t="shared" ref="AP38:AP78" ca="1" si="12">DATEDIF(AO38,TODAY(),"Y")&amp;"年"&amp;DATEDIF(AO38,TODAY(),"YM")&amp;"ヶ月"</f>
        <v>8年4ヶ月</v>
      </c>
      <c r="AQ38" s="8">
        <v>19151</v>
      </c>
      <c r="AR38">
        <f t="shared" ref="AR38:AR78" ca="1" si="13">DATEDIF(AQ38,TODAY(),"Y")</f>
        <v>73</v>
      </c>
      <c r="AS38" t="s">
        <v>232</v>
      </c>
      <c r="AT38" t="str">
        <f t="shared" ref="AT38:AT44" si="14">IF(COUNTIF(AS38,"*区*"),LEFT(AS38,FIND("区",AS38)),IF(COUNTIF(AS38,"*市*"),LEFT(AS38,FIND("市",AS38)),IF(COUNTIF(AS38,"*郡*"),LEFT(AS38,FIND("郡",AS38)),"エラー")))</f>
        <v>横浜市瀬谷区</v>
      </c>
      <c r="AU38" t="str">
        <f t="shared" ref="AU38:AU44" si="15">RIGHT(AS38,LEN(AS38)-LEN(AT38))</f>
        <v>瀬谷町４７番１上瀬谷住宅２棟４０５号</v>
      </c>
      <c r="AV38" t="s">
        <v>74</v>
      </c>
      <c r="AW38" s="32"/>
      <c r="AX38" s="32"/>
    </row>
    <row r="39" spans="1:55">
      <c r="A39" s="50" t="s">
        <v>484</v>
      </c>
      <c r="B39" s="51" t="s">
        <v>75</v>
      </c>
      <c r="C39" s="17">
        <v>3</v>
      </c>
      <c r="D39" s="9" t="s">
        <v>233</v>
      </c>
      <c r="E39" t="s">
        <v>355</v>
      </c>
      <c r="L39" s="17">
        <v>3</v>
      </c>
      <c r="M39" s="3">
        <v>3</v>
      </c>
      <c r="T39" s="4" t="s">
        <v>430</v>
      </c>
      <c r="AA39" s="10">
        <v>4</v>
      </c>
      <c r="AH39" s="2">
        <v>1225</v>
      </c>
      <c r="AI39" s="2"/>
      <c r="AJ39" s="2"/>
      <c r="AK39" s="2"/>
      <c r="AL39" s="2"/>
      <c r="AM39" s="2" t="s">
        <v>157</v>
      </c>
      <c r="AO39" s="8">
        <v>43199</v>
      </c>
      <c r="AP39" s="9" t="str">
        <f t="shared" ca="1" si="12"/>
        <v>8年0ヶ月</v>
      </c>
      <c r="AQ39" s="8">
        <v>18200</v>
      </c>
      <c r="AR39">
        <f t="shared" ca="1" si="13"/>
        <v>76</v>
      </c>
      <c r="AS39" t="s">
        <v>234</v>
      </c>
      <c r="AT39" t="str">
        <f t="shared" si="14"/>
        <v>横浜市神奈川区</v>
      </c>
      <c r="AU39" t="str">
        <f t="shared" si="15"/>
        <v>新子安１丁目２７番１４－５０４号</v>
      </c>
      <c r="AV39" t="s">
        <v>76</v>
      </c>
      <c r="AW39" s="32"/>
      <c r="AX39" s="32"/>
    </row>
    <row r="40" spans="1:55">
      <c r="A40" s="50" t="s">
        <v>485</v>
      </c>
      <c r="B40" s="51" t="s">
        <v>77</v>
      </c>
      <c r="C40" s="17">
        <v>3</v>
      </c>
      <c r="D40" s="9" t="s">
        <v>235</v>
      </c>
      <c r="E40" t="s">
        <v>355</v>
      </c>
      <c r="L40" s="17">
        <v>4</v>
      </c>
      <c r="M40" s="3">
        <v>4</v>
      </c>
      <c r="T40" s="4" t="s">
        <v>430</v>
      </c>
      <c r="AA40" s="10">
        <v>4</v>
      </c>
      <c r="AH40" s="2">
        <v>1225</v>
      </c>
      <c r="AI40" s="2"/>
      <c r="AJ40" s="2"/>
      <c r="AK40" s="2"/>
      <c r="AL40" s="2"/>
      <c r="AM40" s="2" t="s">
        <v>157</v>
      </c>
      <c r="AO40" s="8">
        <v>43650</v>
      </c>
      <c r="AP40" s="9" t="str">
        <f t="shared" ca="1" si="12"/>
        <v>6年9ヶ月</v>
      </c>
      <c r="AQ40" s="8">
        <v>20069</v>
      </c>
      <c r="AR40">
        <f t="shared" ca="1" si="13"/>
        <v>71</v>
      </c>
      <c r="AS40" t="s">
        <v>236</v>
      </c>
      <c r="AT40" t="str">
        <f t="shared" si="14"/>
        <v>横浜市中区</v>
      </c>
      <c r="AU40" t="str">
        <f t="shared" si="15"/>
        <v>海岸通５丁目２５番２シャレール海岸通８１４</v>
      </c>
      <c r="AV40" t="s">
        <v>78</v>
      </c>
      <c r="AW40" s="32"/>
      <c r="AX40" s="32"/>
    </row>
    <row r="41" spans="1:55">
      <c r="A41" s="50" t="s">
        <v>486</v>
      </c>
      <c r="B41" s="51" t="s">
        <v>79</v>
      </c>
      <c r="C41" s="17">
        <v>5</v>
      </c>
      <c r="D41" s="9" t="s">
        <v>237</v>
      </c>
      <c r="E41" t="s">
        <v>355</v>
      </c>
      <c r="L41" s="17">
        <v>6</v>
      </c>
      <c r="M41" s="3">
        <v>6</v>
      </c>
      <c r="T41" s="4" t="s">
        <v>430</v>
      </c>
      <c r="AA41" s="10">
        <v>4</v>
      </c>
      <c r="AH41" s="2">
        <v>1225</v>
      </c>
      <c r="AI41" s="2"/>
      <c r="AJ41" s="2"/>
      <c r="AK41" s="2"/>
      <c r="AL41" s="2"/>
      <c r="AM41" s="2" t="s">
        <v>157</v>
      </c>
      <c r="AN41" t="s">
        <v>159</v>
      </c>
      <c r="AO41" s="8">
        <v>45692</v>
      </c>
      <c r="AP41" s="9" t="str">
        <f t="shared" ca="1" si="12"/>
        <v>1年2ヶ月</v>
      </c>
      <c r="AQ41" s="8">
        <v>27174</v>
      </c>
      <c r="AR41">
        <f t="shared" ca="1" si="13"/>
        <v>51</v>
      </c>
      <c r="AS41" t="s">
        <v>238</v>
      </c>
      <c r="AT41" t="str">
        <f t="shared" si="14"/>
        <v>横浜市栄区</v>
      </c>
      <c r="AU41" t="str">
        <f t="shared" si="15"/>
        <v>本郷台３丁目２３ー１７</v>
      </c>
      <c r="AV41" t="s">
        <v>2</v>
      </c>
      <c r="AW41" s="32"/>
      <c r="AX41" s="32"/>
    </row>
    <row r="42" spans="1:55">
      <c r="A42" s="50" t="s">
        <v>487</v>
      </c>
      <c r="B42" s="51" t="s">
        <v>80</v>
      </c>
      <c r="C42" s="17">
        <v>5</v>
      </c>
      <c r="D42" s="9" t="s">
        <v>239</v>
      </c>
      <c r="E42" t="s">
        <v>355</v>
      </c>
      <c r="L42" s="17">
        <v>6</v>
      </c>
      <c r="M42" s="3">
        <v>6</v>
      </c>
      <c r="T42" s="4" t="s">
        <v>430</v>
      </c>
      <c r="AA42" s="10">
        <v>4</v>
      </c>
      <c r="AH42" s="2">
        <v>1225</v>
      </c>
      <c r="AI42" s="2"/>
      <c r="AJ42" s="2"/>
      <c r="AK42" s="2"/>
      <c r="AL42" s="2"/>
      <c r="AM42" s="2" t="s">
        <v>157</v>
      </c>
      <c r="AN42" t="s">
        <v>159</v>
      </c>
      <c r="AO42" s="8">
        <v>45937</v>
      </c>
      <c r="AP42" s="9" t="str">
        <f t="shared" ca="1" si="12"/>
        <v>0年6ヶ月</v>
      </c>
      <c r="AQ42" s="8">
        <v>26358</v>
      </c>
      <c r="AR42">
        <f t="shared" ca="1" si="13"/>
        <v>54</v>
      </c>
      <c r="AS42" t="s">
        <v>240</v>
      </c>
      <c r="AT42" t="str">
        <f t="shared" si="14"/>
        <v>横浜市中区</v>
      </c>
      <c r="AU42" t="str">
        <f t="shared" si="15"/>
        <v>扇町１丁目２番地２ Gー１ビル４０５</v>
      </c>
      <c r="AV42" t="s">
        <v>81</v>
      </c>
      <c r="AW42" s="32"/>
      <c r="AX42" s="32"/>
    </row>
    <row r="43" spans="1:55">
      <c r="A43" s="50" t="s">
        <v>488</v>
      </c>
      <c r="B43" s="51" t="s">
        <v>82</v>
      </c>
      <c r="C43" s="17">
        <v>4</v>
      </c>
      <c r="D43" s="42" t="s">
        <v>241</v>
      </c>
      <c r="E43" t="s">
        <v>343</v>
      </c>
      <c r="F43" t="s">
        <v>339</v>
      </c>
      <c r="L43" s="17">
        <v>4</v>
      </c>
      <c r="M43" s="3">
        <v>4</v>
      </c>
      <c r="N43" s="3">
        <v>3</v>
      </c>
      <c r="T43" s="4" t="s">
        <v>426</v>
      </c>
      <c r="U43" s="4" t="s">
        <v>425</v>
      </c>
      <c r="AA43" s="10">
        <v>4</v>
      </c>
      <c r="AB43" s="10">
        <v>3</v>
      </c>
      <c r="AH43" s="2">
        <v>1225</v>
      </c>
      <c r="AI43" s="2"/>
      <c r="AJ43" s="2"/>
      <c r="AK43" s="2"/>
      <c r="AL43" s="2"/>
      <c r="AM43" s="2" t="s">
        <v>157</v>
      </c>
      <c r="AN43" t="s">
        <v>159</v>
      </c>
      <c r="AO43" s="8">
        <v>41688</v>
      </c>
      <c r="AP43" s="9" t="str">
        <f t="shared" ca="1" si="12"/>
        <v>12年1ヶ月</v>
      </c>
      <c r="AQ43" s="8">
        <v>17827</v>
      </c>
      <c r="AR43">
        <f t="shared" ca="1" si="13"/>
        <v>77</v>
      </c>
      <c r="AS43" t="s">
        <v>242</v>
      </c>
      <c r="AT43" t="str">
        <f t="shared" si="14"/>
        <v>横浜市泉区</v>
      </c>
      <c r="AU43" t="str">
        <f t="shared" si="15"/>
        <v>上飯田町２６７０番地　県営いちょう団地１８棟２０１号</v>
      </c>
      <c r="AV43" t="s">
        <v>16</v>
      </c>
      <c r="AW43" s="32"/>
      <c r="AX43" s="32"/>
    </row>
    <row r="44" spans="1:55">
      <c r="A44" s="50" t="s">
        <v>489</v>
      </c>
      <c r="B44" s="51" t="s">
        <v>83</v>
      </c>
      <c r="C44" s="17">
        <v>4</v>
      </c>
      <c r="D44" s="42" t="s">
        <v>243</v>
      </c>
      <c r="E44" t="s">
        <v>343</v>
      </c>
      <c r="F44" t="s">
        <v>343</v>
      </c>
      <c r="L44" s="17">
        <v>4</v>
      </c>
      <c r="M44" s="3">
        <v>4</v>
      </c>
      <c r="N44" s="3">
        <v>2</v>
      </c>
      <c r="T44" s="4" t="s">
        <v>425</v>
      </c>
      <c r="U44" s="4" t="s">
        <v>426</v>
      </c>
      <c r="AA44" s="10">
        <v>3</v>
      </c>
      <c r="AB44" s="10">
        <v>4</v>
      </c>
      <c r="AH44" s="2">
        <v>1225</v>
      </c>
      <c r="AI44" s="2"/>
      <c r="AJ44" s="2"/>
      <c r="AK44" s="2"/>
      <c r="AL44" s="2"/>
      <c r="AM44" s="2" t="s">
        <v>157</v>
      </c>
      <c r="AO44" s="8">
        <v>39687</v>
      </c>
      <c r="AP44" s="9" t="str">
        <f t="shared" ca="1" si="12"/>
        <v>17年7ヶ月</v>
      </c>
      <c r="AQ44" s="8">
        <v>17513</v>
      </c>
      <c r="AR44">
        <f t="shared" ca="1" si="13"/>
        <v>78</v>
      </c>
      <c r="AS44" t="s">
        <v>244</v>
      </c>
      <c r="AT44" t="str">
        <f t="shared" si="14"/>
        <v>横浜市戸塚区</v>
      </c>
      <c r="AU44" t="str">
        <f t="shared" si="15"/>
        <v>戸塚町４５３６番地１８　戸塚富士見丘ハイツB棟１０４号</v>
      </c>
      <c r="AV44" t="s">
        <v>13</v>
      </c>
      <c r="AW44" s="32"/>
      <c r="AX44" s="32"/>
    </row>
    <row r="45" spans="1:55">
      <c r="A45" s="50" t="s">
        <v>490</v>
      </c>
      <c r="B45" s="51" t="s">
        <v>84</v>
      </c>
      <c r="C45" s="17">
        <v>2</v>
      </c>
      <c r="D45" s="9" t="s">
        <v>245</v>
      </c>
      <c r="E45" t="s">
        <v>343</v>
      </c>
      <c r="L45" s="17">
        <v>2</v>
      </c>
      <c r="M45" s="3">
        <v>2</v>
      </c>
      <c r="T45" s="4" t="s">
        <v>425</v>
      </c>
      <c r="AA45" s="10">
        <v>3</v>
      </c>
      <c r="AH45" s="2">
        <v>1225</v>
      </c>
      <c r="AI45" s="2"/>
      <c r="AJ45" s="2"/>
      <c r="AK45" s="2"/>
      <c r="AL45" s="2"/>
      <c r="AM45" s="2" t="s">
        <v>157</v>
      </c>
      <c r="AO45" s="8">
        <v>41770</v>
      </c>
      <c r="AP45" s="9" t="str">
        <f t="shared" ca="1" si="12"/>
        <v>11年11ヶ月</v>
      </c>
      <c r="AQ45" s="8">
        <v>16051</v>
      </c>
      <c r="AR45">
        <f t="shared" ca="1" si="13"/>
        <v>82</v>
      </c>
      <c r="AS45" t="s">
        <v>246</v>
      </c>
      <c r="AT45" t="str">
        <f t="shared" ref="AT45:AT46" si="16">IF(COUNTIF(AS45,"*区*"),LEFT(AS45,FIND("区",AS45)),IF(COUNTIF(AS45,"*市*"),LEFT(AS45,FIND("市",AS45)),IF(COUNTIF(AS45,"*郡*"),LEFT(AS45,FIND("郡",AS45)),"エラー")))</f>
        <v>横浜市戸塚区</v>
      </c>
      <c r="AU45" t="str">
        <f t="shared" ref="AU45:AU46" si="17">RIGHT(AS45,LEN(AS45)-LEN(AT45))</f>
        <v>秋葉町５４６番地２　ピアパレス戸塚２０５号</v>
      </c>
      <c r="AV45" t="s">
        <v>85</v>
      </c>
      <c r="AW45" s="32"/>
      <c r="AX45" s="32"/>
    </row>
    <row r="46" spans="1:55">
      <c r="A46" s="50" t="s">
        <v>435</v>
      </c>
      <c r="B46" s="51" t="s">
        <v>86</v>
      </c>
      <c r="C46" s="17">
        <v>3</v>
      </c>
      <c r="D46" s="53" t="s">
        <v>247</v>
      </c>
      <c r="E46" t="s">
        <v>343</v>
      </c>
      <c r="L46" s="17">
        <v>3</v>
      </c>
      <c r="M46" s="3">
        <v>3</v>
      </c>
      <c r="T46" s="3" t="s">
        <v>436</v>
      </c>
      <c r="U46" s="3"/>
      <c r="V46" s="3"/>
      <c r="W46" s="3"/>
      <c r="X46" s="3"/>
      <c r="Y46" s="3"/>
      <c r="Z46" s="3"/>
      <c r="AA46" s="10">
        <v>1.5</v>
      </c>
      <c r="AH46" s="2">
        <v>3000</v>
      </c>
      <c r="AJ46" s="2"/>
      <c r="AK46" s="2"/>
      <c r="AL46" s="2">
        <v>5000</v>
      </c>
      <c r="AM46" s="2" t="s">
        <v>160</v>
      </c>
      <c r="AO46" s="8">
        <v>44044</v>
      </c>
      <c r="AP46" s="9" t="str">
        <f t="shared" ca="1" si="12"/>
        <v>5年8ヶ月</v>
      </c>
      <c r="AQ46" s="8">
        <v>21824</v>
      </c>
      <c r="AR46">
        <f t="shared" ca="1" si="13"/>
        <v>66</v>
      </c>
      <c r="AS46" t="s">
        <v>248</v>
      </c>
      <c r="AT46" t="str">
        <f t="shared" si="16"/>
        <v>横浜市戸塚区</v>
      </c>
      <c r="AU46" t="str">
        <f t="shared" si="17"/>
        <v>戸塚町２０２２番地１　ﾗｲｵﾝｽﾞｶﾞｰﾃﾞﾝﾋﾙｽﾞ戸塚４０６号</v>
      </c>
      <c r="AV46" t="s">
        <v>13</v>
      </c>
      <c r="AW46" s="32"/>
      <c r="AX46" s="32"/>
      <c r="BB46" t="s">
        <v>450</v>
      </c>
      <c r="BC46" t="s">
        <v>443</v>
      </c>
    </row>
    <row r="47" spans="1:55">
      <c r="A47" s="50" t="s">
        <v>445</v>
      </c>
      <c r="B47" s="51" t="s">
        <v>87</v>
      </c>
      <c r="C47" s="17">
        <v>3</v>
      </c>
      <c r="D47" s="54" t="s">
        <v>249</v>
      </c>
      <c r="E47" t="s">
        <v>343</v>
      </c>
      <c r="F47" t="s">
        <v>343</v>
      </c>
      <c r="L47" s="17">
        <v>5</v>
      </c>
      <c r="M47" s="3">
        <v>3</v>
      </c>
      <c r="N47" s="3">
        <v>2</v>
      </c>
      <c r="T47" s="3" t="s">
        <v>436</v>
      </c>
      <c r="U47" s="4" t="s">
        <v>426</v>
      </c>
      <c r="AA47" s="10">
        <v>1.5</v>
      </c>
      <c r="AB47" s="10">
        <v>4</v>
      </c>
      <c r="AH47" s="2">
        <v>3000</v>
      </c>
      <c r="AI47" s="2">
        <v>1225</v>
      </c>
      <c r="AK47" s="2"/>
      <c r="AL47" s="2"/>
      <c r="AM47" s="2" t="s">
        <v>157</v>
      </c>
      <c r="AO47" s="8">
        <v>44044</v>
      </c>
      <c r="AP47" s="9" t="str">
        <f t="shared" ca="1" si="12"/>
        <v>5年8ヶ月</v>
      </c>
      <c r="AQ47" s="8">
        <v>18185</v>
      </c>
      <c r="AR47">
        <f t="shared" ca="1" si="13"/>
        <v>76</v>
      </c>
      <c r="AS47" t="s">
        <v>250</v>
      </c>
      <c r="AT47" t="s">
        <v>7</v>
      </c>
      <c r="AU47" t="s">
        <v>3</v>
      </c>
      <c r="AV47" t="s">
        <v>11</v>
      </c>
      <c r="AW47" s="32"/>
      <c r="AX47" s="32"/>
    </row>
    <row r="48" spans="1:55">
      <c r="A48" s="50" t="s">
        <v>491</v>
      </c>
      <c r="B48" s="51" t="s">
        <v>88</v>
      </c>
      <c r="C48" s="17">
        <v>2</v>
      </c>
      <c r="D48" s="53" t="s">
        <v>4</v>
      </c>
      <c r="E48" t="s">
        <v>343</v>
      </c>
      <c r="L48" s="17">
        <v>2</v>
      </c>
      <c r="M48" s="3">
        <v>2</v>
      </c>
      <c r="T48" s="3" t="s">
        <v>436</v>
      </c>
      <c r="U48" s="3"/>
      <c r="V48" s="3"/>
      <c r="W48" s="3"/>
      <c r="X48" s="3"/>
      <c r="Y48" s="3"/>
      <c r="Z48" s="3"/>
      <c r="AA48" s="10">
        <v>1.5</v>
      </c>
      <c r="AH48" s="2">
        <v>3000</v>
      </c>
      <c r="AI48" s="2"/>
      <c r="AJ48" s="2"/>
      <c r="AK48" s="2"/>
      <c r="AL48" s="2"/>
      <c r="AM48" s="2" t="s">
        <v>160</v>
      </c>
      <c r="AO48" s="8">
        <v>44044</v>
      </c>
      <c r="AP48" s="9" t="str">
        <f t="shared" ca="1" si="12"/>
        <v>5年8ヶ月</v>
      </c>
      <c r="AQ48" s="8">
        <v>22351</v>
      </c>
      <c r="AR48">
        <f t="shared" ca="1" si="13"/>
        <v>65</v>
      </c>
      <c r="AS48" t="s">
        <v>251</v>
      </c>
      <c r="AT48" t="str">
        <f>IF(COUNTIF(AS48,"*区*"),LEFT(AS48,FIND("区",AS48)),IF(COUNTIF(AS48,"*市*"),LEFT(AS48,FIND("市",AS48)),IF(COUNTIF(AS48,"*郡*"),LEFT(AS48,FIND("郡",AS48)),"エラー")))</f>
        <v>横浜市港南区</v>
      </c>
      <c r="AU48" t="str">
        <f>RIGHT(AS48,LEN(AS48)-LEN(AT48))</f>
        <v>下永谷三丁目２４番４号　中永谷ハイム５　１０１</v>
      </c>
      <c r="AV48" t="s">
        <v>15</v>
      </c>
      <c r="AW48" s="32"/>
      <c r="AX48" s="32"/>
    </row>
    <row r="49" spans="1:55">
      <c r="A49" s="50" t="s">
        <v>492</v>
      </c>
      <c r="B49" s="51" t="s">
        <v>89</v>
      </c>
      <c r="C49" s="17">
        <v>3</v>
      </c>
      <c r="D49" s="53" t="s">
        <v>252</v>
      </c>
      <c r="E49" t="s">
        <v>343</v>
      </c>
      <c r="L49" s="17">
        <v>3</v>
      </c>
      <c r="M49" s="3">
        <v>3</v>
      </c>
      <c r="T49" s="3" t="s">
        <v>436</v>
      </c>
      <c r="U49" s="3"/>
      <c r="V49" s="3"/>
      <c r="W49" s="3"/>
      <c r="X49" s="3"/>
      <c r="Y49" s="3"/>
      <c r="Z49" s="3"/>
      <c r="AA49" s="10">
        <v>1.5</v>
      </c>
      <c r="AH49" s="2">
        <v>3000</v>
      </c>
      <c r="AI49" s="2"/>
      <c r="AJ49" s="2"/>
      <c r="AK49" s="2"/>
      <c r="AL49" s="2"/>
      <c r="AM49" s="2" t="s">
        <v>160</v>
      </c>
      <c r="AO49" s="8">
        <v>44044</v>
      </c>
      <c r="AP49" s="9" t="str">
        <f t="shared" ca="1" si="12"/>
        <v>5年8ヶ月</v>
      </c>
      <c r="AQ49" s="8">
        <v>27039</v>
      </c>
      <c r="AR49">
        <f t="shared" ca="1" si="13"/>
        <v>52</v>
      </c>
      <c r="AS49" t="s">
        <v>253</v>
      </c>
      <c r="AT49" t="str">
        <f>IF(COUNTIF(AS49,"*区*"),LEFT(AS49,FIND("区",AS49)),IF(COUNTIF(AS49,"*市*"),LEFT(AS49,FIND("市",AS49)),IF(COUNTIF(AS49,"*郡*"),LEFT(AS49,FIND("郡",AS49)),"エラー")))</f>
        <v>横浜市泉区</v>
      </c>
      <c r="AU49" t="str">
        <f>RIGHT(AS49,LEN(AS49)-LEN(AT49))</f>
        <v>和泉が丘二丁目９番２４号</v>
      </c>
      <c r="AV49" t="s">
        <v>90</v>
      </c>
      <c r="AW49" s="32"/>
      <c r="AX49" s="32"/>
    </row>
    <row r="50" spans="1:55">
      <c r="A50" s="50" t="s">
        <v>493</v>
      </c>
      <c r="B50" s="51" t="s">
        <v>91</v>
      </c>
      <c r="C50" s="17">
        <v>3</v>
      </c>
      <c r="D50" s="53" t="s">
        <v>254</v>
      </c>
      <c r="E50" t="s">
        <v>343</v>
      </c>
      <c r="L50" s="17">
        <v>3</v>
      </c>
      <c r="M50" s="3">
        <v>3</v>
      </c>
      <c r="T50" s="3" t="s">
        <v>436</v>
      </c>
      <c r="U50" s="3"/>
      <c r="V50" s="3"/>
      <c r="W50" s="3"/>
      <c r="X50" s="3"/>
      <c r="Y50" s="3"/>
      <c r="Z50" s="3"/>
      <c r="AA50" s="10">
        <v>1.5</v>
      </c>
      <c r="AH50" s="2">
        <v>2700</v>
      </c>
      <c r="AI50" s="2"/>
      <c r="AJ50" s="2"/>
      <c r="AK50" s="2"/>
      <c r="AL50" s="2"/>
      <c r="AM50" s="2" t="s">
        <v>160</v>
      </c>
      <c r="AO50" s="8">
        <v>44044</v>
      </c>
      <c r="AP50" s="9" t="str">
        <f t="shared" ca="1" si="12"/>
        <v>5年8ヶ月</v>
      </c>
      <c r="AQ50" s="8">
        <v>27126</v>
      </c>
      <c r="AR50">
        <f t="shared" ca="1" si="13"/>
        <v>52</v>
      </c>
      <c r="AS50" t="s">
        <v>255</v>
      </c>
      <c r="AT50" t="str">
        <f>IF(COUNTIF(AS50,"*区*"),LEFT(AS50,FIND("区",AS50)),IF(COUNTIF(AS50,"*市*"),LEFT(AS50,FIND("市",AS50)),IF(COUNTIF(AS50,"*郡*"),LEFT(AS50,FIND("郡",AS50)),"エラー")))</f>
        <v>綾瀬市</v>
      </c>
      <c r="AU50" t="str">
        <f>RIGHT(AS50,LEN(AS50)-LEN(AT50))</f>
        <v>深谷中４丁目２５番９号</v>
      </c>
      <c r="AV50" t="s">
        <v>92</v>
      </c>
      <c r="AW50" s="32"/>
      <c r="AX50" s="32"/>
    </row>
    <row r="51" spans="1:55">
      <c r="A51" s="50" t="s">
        <v>494</v>
      </c>
      <c r="B51" s="51" t="s">
        <v>93</v>
      </c>
      <c r="C51" s="17">
        <v>2</v>
      </c>
      <c r="D51" s="53" t="s">
        <v>256</v>
      </c>
      <c r="E51" t="s">
        <v>343</v>
      </c>
      <c r="L51" s="17">
        <v>2</v>
      </c>
      <c r="M51" s="3">
        <v>2</v>
      </c>
      <c r="T51" s="3" t="s">
        <v>436</v>
      </c>
      <c r="U51" s="3"/>
      <c r="V51" s="3"/>
      <c r="W51" s="3"/>
      <c r="X51" s="3"/>
      <c r="Y51" s="3"/>
      <c r="Z51" s="3"/>
      <c r="AA51" s="10">
        <v>1.5</v>
      </c>
      <c r="AH51" s="2">
        <v>2700</v>
      </c>
      <c r="AI51" s="2"/>
      <c r="AJ51" s="2"/>
      <c r="AK51" s="2"/>
      <c r="AL51" s="2"/>
      <c r="AM51" s="2" t="s">
        <v>157</v>
      </c>
      <c r="AO51" s="8">
        <v>45220</v>
      </c>
      <c r="AP51" s="9" t="str">
        <f t="shared" ca="1" si="12"/>
        <v>2年5ヶ月</v>
      </c>
      <c r="AQ51" s="8">
        <v>26525</v>
      </c>
      <c r="AR51">
        <f t="shared" ca="1" si="13"/>
        <v>53</v>
      </c>
      <c r="AS51" t="s">
        <v>257</v>
      </c>
      <c r="AU51" t="str">
        <f t="shared" ref="AU51:AU53" si="18">RIGHT(AS51,LEN(AS51)-LEN(AT51))</f>
        <v>横浜市戸塚区戸塚町３４４０番地１ビューテラス戸塚１１２号室</v>
      </c>
      <c r="AV51" t="s">
        <v>13</v>
      </c>
      <c r="AW51" s="32"/>
      <c r="AX51" s="32"/>
    </row>
    <row r="52" spans="1:55">
      <c r="A52" s="50" t="s">
        <v>442</v>
      </c>
      <c r="B52" s="51" t="s">
        <v>94</v>
      </c>
      <c r="C52" s="17">
        <v>5</v>
      </c>
      <c r="D52" s="9" t="s">
        <v>258</v>
      </c>
      <c r="E52" t="s">
        <v>356</v>
      </c>
      <c r="L52" s="17">
        <v>6</v>
      </c>
      <c r="M52" s="3">
        <v>6</v>
      </c>
      <c r="T52" s="4" t="s">
        <v>540</v>
      </c>
      <c r="AA52" s="10">
        <v>4.5</v>
      </c>
      <c r="AH52" s="2">
        <v>1225</v>
      </c>
      <c r="AJ52" s="2"/>
      <c r="AK52" s="2"/>
      <c r="AL52" s="2">
        <v>5000</v>
      </c>
      <c r="AM52" s="2" t="s">
        <v>157</v>
      </c>
      <c r="AN52" t="s">
        <v>158</v>
      </c>
      <c r="AO52" s="8">
        <v>39824</v>
      </c>
      <c r="AP52" s="9" t="str">
        <f t="shared" ca="1" si="12"/>
        <v>17年3ヶ月</v>
      </c>
      <c r="AQ52" s="8">
        <v>18682</v>
      </c>
      <c r="AR52">
        <f t="shared" ca="1" si="13"/>
        <v>75</v>
      </c>
      <c r="AS52" t="s">
        <v>259</v>
      </c>
      <c r="AT52" t="s">
        <v>5</v>
      </c>
      <c r="AU52" t="str">
        <f t="shared" si="18"/>
        <v>市赤松町６丁目６２番ｱﾍﾞｰﾆｭ湘南２０１号</v>
      </c>
      <c r="AV52" t="s">
        <v>95</v>
      </c>
      <c r="AW52" s="32"/>
      <c r="AX52" s="32"/>
      <c r="BB52" t="s">
        <v>449</v>
      </c>
      <c r="BC52" t="s">
        <v>443</v>
      </c>
    </row>
    <row r="53" spans="1:55">
      <c r="A53" s="50" t="s">
        <v>495</v>
      </c>
      <c r="B53" s="51" t="s">
        <v>96</v>
      </c>
      <c r="C53" s="17">
        <v>2</v>
      </c>
      <c r="D53" s="42" t="s">
        <v>260</v>
      </c>
      <c r="E53" t="s">
        <v>356</v>
      </c>
      <c r="F53" t="s">
        <v>356</v>
      </c>
      <c r="L53" s="17">
        <v>2</v>
      </c>
      <c r="M53" s="3">
        <v>1</v>
      </c>
      <c r="N53" s="3">
        <v>1</v>
      </c>
      <c r="T53" s="4" t="s">
        <v>540</v>
      </c>
      <c r="U53" s="4" t="s">
        <v>598</v>
      </c>
      <c r="AA53" s="10">
        <v>4.5</v>
      </c>
      <c r="AB53" s="10">
        <v>5</v>
      </c>
      <c r="AH53" s="2">
        <v>1225</v>
      </c>
      <c r="AI53" s="2"/>
      <c r="AJ53" s="2"/>
      <c r="AK53" s="2"/>
      <c r="AL53" s="2"/>
      <c r="AM53" s="2" t="s">
        <v>157</v>
      </c>
      <c r="AO53" s="8">
        <v>45515</v>
      </c>
      <c r="AP53" s="9" t="str">
        <f t="shared" ca="1" si="12"/>
        <v>1年8ヶ月</v>
      </c>
      <c r="AQ53" s="8">
        <v>16004</v>
      </c>
      <c r="AR53">
        <f t="shared" ca="1" si="13"/>
        <v>82</v>
      </c>
      <c r="AS53" t="s">
        <v>261</v>
      </c>
      <c r="AT53" t="str">
        <f>IF(COUNTIF(AS53,"*区*"),LEFT(AS53,FIND("区",AS53)),IF(COUNTIF(AS53,"*市*"),LEFT(AS53,FIND("市",AS53)),IF(COUNTIF(AS53,"*郡*"),LEFT(AS53,FIND("郡",AS53)),"エラー")))</f>
        <v>横浜市港南区</v>
      </c>
      <c r="AU53" t="str">
        <f t="shared" si="18"/>
        <v>野庭町７５９番３上永谷パークホームズ５０４号</v>
      </c>
      <c r="AV53" t="s">
        <v>17</v>
      </c>
      <c r="AW53" s="32"/>
      <c r="AX53" s="32"/>
    </row>
    <row r="54" spans="1:55">
      <c r="A54" s="50" t="s">
        <v>596</v>
      </c>
      <c r="B54" s="51" t="s">
        <v>591</v>
      </c>
      <c r="D54" s="9" t="s">
        <v>592</v>
      </c>
      <c r="E54" t="s">
        <v>356</v>
      </c>
      <c r="L54" s="17">
        <v>2</v>
      </c>
      <c r="T54" s="4" t="s">
        <v>598</v>
      </c>
      <c r="AA54" s="10">
        <v>5</v>
      </c>
      <c r="AH54" s="2">
        <v>1225</v>
      </c>
      <c r="AI54" s="2"/>
      <c r="AJ54" s="2"/>
      <c r="AK54" s="2"/>
      <c r="AL54" s="2"/>
      <c r="AM54" s="2"/>
      <c r="AO54" s="8">
        <v>44611</v>
      </c>
      <c r="AP54" s="9" t="str">
        <f ca="1">DATEDIF(AO54,TODAY(),"Y")&amp;"年"&amp;DATEDIF(AO54,TODAY(),"YM")&amp;"ヶ月"</f>
        <v>4年1ヶ月</v>
      </c>
      <c r="AQ54" s="8">
        <v>17962</v>
      </c>
      <c r="AR54">
        <f ca="1">DATEDIF(AQ54,TODAY(),"Y")</f>
        <v>77</v>
      </c>
      <c r="AS54" t="s">
        <v>593</v>
      </c>
      <c r="AT54" t="str">
        <f>IF(COUNTIF(AS54,"*区*"),LEFT(AS54,FIND("区",AS54)),IF(COUNTIF(AS54,"*市*"),LEFT(AS54,FIND("市",AS54)),IF(COUNTIF(AS54,"*郡*"),LEFT(AS54,FIND("郡",AS54)),"エラー")))</f>
        <v>横浜市戸塚区</v>
      </c>
      <c r="AU54" t="str">
        <f t="shared" ref="AU54" si="19">RIGHT(AS54,LEN(AS54)-LEN(AT54))</f>
        <v>柏尾町７５７番地　柏陽台アパート１３－３０１号</v>
      </c>
      <c r="AV54" t="s">
        <v>594</v>
      </c>
      <c r="AW54" s="32"/>
      <c r="AX54" s="32"/>
    </row>
    <row r="55" spans="1:55">
      <c r="A55" s="50" t="s">
        <v>444</v>
      </c>
      <c r="B55" s="51" t="s">
        <v>98</v>
      </c>
      <c r="C55" s="17">
        <v>5</v>
      </c>
      <c r="D55" s="54" t="s">
        <v>264</v>
      </c>
      <c r="E55" t="s">
        <v>356</v>
      </c>
      <c r="F55" t="s">
        <v>359</v>
      </c>
      <c r="G55" t="s">
        <v>359</v>
      </c>
      <c r="H55" t="s">
        <v>338</v>
      </c>
      <c r="I55" t="s">
        <v>438</v>
      </c>
      <c r="L55" s="17">
        <v>5</v>
      </c>
      <c r="M55" s="3">
        <v>3</v>
      </c>
      <c r="N55" s="3">
        <v>2</v>
      </c>
      <c r="O55" s="3">
        <v>1</v>
      </c>
      <c r="P55" s="3">
        <v>2</v>
      </c>
      <c r="Q55" s="19">
        <v>8</v>
      </c>
      <c r="T55" s="3" t="s">
        <v>436</v>
      </c>
      <c r="U55" s="4" t="s">
        <v>542</v>
      </c>
      <c r="V55" s="4" t="s">
        <v>426</v>
      </c>
      <c r="W55" s="3" t="s">
        <v>431</v>
      </c>
      <c r="X55" s="4" t="s">
        <v>334</v>
      </c>
      <c r="Y55" s="4" t="s">
        <v>335</v>
      </c>
      <c r="Z55" s="3"/>
      <c r="AA55" s="10">
        <v>1.5</v>
      </c>
      <c r="AB55" s="10">
        <v>7</v>
      </c>
      <c r="AC55" s="10">
        <v>4</v>
      </c>
      <c r="AD55" s="7">
        <v>3</v>
      </c>
      <c r="AH55" s="2">
        <v>3000</v>
      </c>
      <c r="AI55" s="2">
        <v>1225</v>
      </c>
      <c r="AJ55" s="2">
        <v>1300</v>
      </c>
      <c r="AK55" s="2">
        <v>1600</v>
      </c>
      <c r="AL55" s="2"/>
      <c r="AM55" s="2" t="s">
        <v>157</v>
      </c>
      <c r="AN55" t="s">
        <v>162</v>
      </c>
      <c r="AO55" s="8">
        <v>40116</v>
      </c>
      <c r="AP55" s="9" t="str">
        <f t="shared" ca="1" si="12"/>
        <v>16年5ヶ月</v>
      </c>
      <c r="AQ55" s="8">
        <v>20884</v>
      </c>
      <c r="AR55">
        <f t="shared" ca="1" si="13"/>
        <v>69</v>
      </c>
      <c r="AS55" t="s">
        <v>265</v>
      </c>
      <c r="AT55" t="str">
        <f>IF(COUNTIF(AS55,"*区*"),LEFT(AS55,FIND("区",AS55)),IF(COUNTIF(AS55,"*市*"),LEFT(AS55,FIND("市",AS55)),IF(COUNTIF(AS55,"*郡*"),LEFT(AS55,FIND("郡",AS55)),"エラー")))</f>
        <v>横浜市戸塚区</v>
      </c>
      <c r="AU55" t="str">
        <f>RIGHT(AS55,LEN(AS55)-LEN(AT55))</f>
        <v>汲沢町１３３５番地３</v>
      </c>
      <c r="AV55" t="s">
        <v>40</v>
      </c>
      <c r="AW55" s="32"/>
      <c r="AX55" s="32"/>
    </row>
    <row r="56" spans="1:55">
      <c r="A56" s="50" t="s">
        <v>564</v>
      </c>
      <c r="B56" s="51" t="s">
        <v>99</v>
      </c>
      <c r="C56" s="17">
        <v>3</v>
      </c>
      <c r="D56" s="53" t="s">
        <v>266</v>
      </c>
      <c r="E56" t="s">
        <v>356</v>
      </c>
      <c r="L56" s="17">
        <v>3</v>
      </c>
      <c r="M56" s="3">
        <v>3</v>
      </c>
      <c r="T56" s="3" t="s">
        <v>436</v>
      </c>
      <c r="U56" s="3"/>
      <c r="V56" s="3"/>
      <c r="W56" s="3"/>
      <c r="X56" s="3"/>
      <c r="Y56" s="3"/>
      <c r="Z56" s="3"/>
      <c r="AA56" s="10">
        <v>1.5</v>
      </c>
      <c r="AH56" s="2">
        <v>3000</v>
      </c>
      <c r="AJ56" s="2"/>
      <c r="AK56" s="2"/>
      <c r="AL56" s="2">
        <v>7500</v>
      </c>
      <c r="AM56" s="2" t="s">
        <v>160</v>
      </c>
      <c r="AO56" s="8">
        <v>44044</v>
      </c>
      <c r="AP56" s="9" t="str">
        <f t="shared" ca="1" si="12"/>
        <v>5年8ヶ月</v>
      </c>
      <c r="AQ56" s="8">
        <v>29779</v>
      </c>
      <c r="AR56">
        <f t="shared" ca="1" si="13"/>
        <v>44</v>
      </c>
      <c r="AS56" t="s">
        <v>267</v>
      </c>
      <c r="AT56" t="s">
        <v>7</v>
      </c>
      <c r="AU56" t="s">
        <v>268</v>
      </c>
      <c r="AV56" t="s">
        <v>13</v>
      </c>
      <c r="AW56" s="32"/>
      <c r="AX56" s="32"/>
      <c r="BB56" t="s">
        <v>449</v>
      </c>
      <c r="BC56" t="s">
        <v>443</v>
      </c>
    </row>
    <row r="57" spans="1:55">
      <c r="A57" s="50" t="s">
        <v>497</v>
      </c>
      <c r="B57" s="51" t="s">
        <v>100</v>
      </c>
      <c r="C57" s="17">
        <v>3</v>
      </c>
      <c r="D57" s="53" t="s">
        <v>269</v>
      </c>
      <c r="E57" t="s">
        <v>356</v>
      </c>
      <c r="L57" s="17">
        <v>4</v>
      </c>
      <c r="M57" s="3">
        <v>4</v>
      </c>
      <c r="T57" s="3" t="s">
        <v>436</v>
      </c>
      <c r="U57" s="3"/>
      <c r="V57" s="3"/>
      <c r="W57" s="3"/>
      <c r="X57" s="3"/>
      <c r="Y57" s="3"/>
      <c r="Z57" s="3"/>
      <c r="AA57" s="10">
        <v>1.5</v>
      </c>
      <c r="AH57" s="2">
        <v>3000</v>
      </c>
      <c r="AI57" s="2"/>
      <c r="AJ57" s="2"/>
      <c r="AK57" s="2"/>
      <c r="AL57" s="2"/>
      <c r="AM57" s="2" t="s">
        <v>157</v>
      </c>
      <c r="AO57" s="8">
        <v>44044</v>
      </c>
      <c r="AP57" s="9" t="str">
        <f t="shared" ca="1" si="12"/>
        <v>5年8ヶ月</v>
      </c>
      <c r="AQ57" s="8">
        <v>24496</v>
      </c>
      <c r="AR57">
        <f t="shared" ca="1" si="13"/>
        <v>59</v>
      </c>
      <c r="AS57" t="s">
        <v>270</v>
      </c>
      <c r="AT57" t="s">
        <v>7</v>
      </c>
      <c r="AU57" t="s">
        <v>6</v>
      </c>
      <c r="AV57" t="s">
        <v>18</v>
      </c>
      <c r="AW57" s="32"/>
      <c r="AX57" s="32"/>
    </row>
    <row r="58" spans="1:55">
      <c r="A58" s="50" t="s">
        <v>566</v>
      </c>
      <c r="B58" s="51" t="s">
        <v>101</v>
      </c>
      <c r="C58" s="17">
        <v>4</v>
      </c>
      <c r="D58" s="53" t="s">
        <v>271</v>
      </c>
      <c r="E58" t="s">
        <v>356</v>
      </c>
      <c r="L58" s="17">
        <v>4</v>
      </c>
      <c r="M58" s="3">
        <v>4</v>
      </c>
      <c r="T58" s="3" t="s">
        <v>436</v>
      </c>
      <c r="U58" s="3"/>
      <c r="V58" s="3"/>
      <c r="W58" s="3"/>
      <c r="X58" s="3"/>
      <c r="Y58" s="3"/>
      <c r="Z58" s="3"/>
      <c r="AA58" s="10">
        <v>1.5</v>
      </c>
      <c r="AH58" s="2">
        <v>2800</v>
      </c>
      <c r="AI58" s="2"/>
      <c r="AJ58" s="2"/>
      <c r="AK58" s="2"/>
      <c r="AL58" s="2"/>
      <c r="AM58" s="2" t="s">
        <v>157</v>
      </c>
      <c r="AO58" s="8">
        <v>44044</v>
      </c>
      <c r="AP58" s="9" t="str">
        <f t="shared" ca="1" si="12"/>
        <v>5年8ヶ月</v>
      </c>
      <c r="AQ58" s="8">
        <v>25063</v>
      </c>
      <c r="AR58">
        <f t="shared" ca="1" si="13"/>
        <v>57</v>
      </c>
      <c r="AS58" t="s">
        <v>272</v>
      </c>
      <c r="AT58" t="str">
        <f t="shared" ref="AT58:AT69" si="20">IF(COUNTIF(AS58,"*区*"),LEFT(AS58,FIND("区",AS58)),IF(COUNTIF(AS58,"*市*"),LEFT(AS58,FIND("市",AS58)),IF(COUNTIF(AS58,"*郡*"),LEFT(AS58,FIND("郡",AS58)),"エラー")))</f>
        <v>横浜市泉区</v>
      </c>
      <c r="AU58" t="str">
        <f t="shared" ref="AU58:AU69" si="21">RIGHT(AS58,LEN(AS58)-LEN(AT58))</f>
        <v>和泉が丘２丁目８番２６号</v>
      </c>
      <c r="AV58" t="s">
        <v>90</v>
      </c>
      <c r="AW58" s="32"/>
      <c r="AX58" s="32"/>
    </row>
    <row r="59" spans="1:55">
      <c r="A59" s="50" t="s">
        <v>498</v>
      </c>
      <c r="B59" s="51" t="s">
        <v>102</v>
      </c>
      <c r="C59" s="17">
        <v>2</v>
      </c>
      <c r="D59" s="53" t="s">
        <v>273</v>
      </c>
      <c r="E59" t="s">
        <v>356</v>
      </c>
      <c r="L59" s="17">
        <v>4</v>
      </c>
      <c r="M59" s="3">
        <v>4</v>
      </c>
      <c r="T59" s="3" t="s">
        <v>436</v>
      </c>
      <c r="U59" s="3"/>
      <c r="V59" s="3"/>
      <c r="W59" s="3"/>
      <c r="X59" s="3"/>
      <c r="Y59" s="3"/>
      <c r="Z59" s="3"/>
      <c r="AA59" s="10">
        <v>1.5</v>
      </c>
      <c r="AH59" s="2">
        <v>2800</v>
      </c>
      <c r="AI59" s="2"/>
      <c r="AJ59" s="2"/>
      <c r="AK59" s="2"/>
      <c r="AL59" s="2"/>
      <c r="AM59" s="2" t="s">
        <v>160</v>
      </c>
      <c r="AO59" s="8">
        <v>44044</v>
      </c>
      <c r="AP59" s="9" t="str">
        <f t="shared" ca="1" si="12"/>
        <v>5年8ヶ月</v>
      </c>
      <c r="AQ59" s="8">
        <v>26427</v>
      </c>
      <c r="AR59">
        <f t="shared" ca="1" si="13"/>
        <v>53</v>
      </c>
      <c r="AS59" t="s">
        <v>274</v>
      </c>
      <c r="AT59" t="str">
        <f t="shared" si="20"/>
        <v>横浜市港南区</v>
      </c>
      <c r="AU59" t="str">
        <f t="shared" si="21"/>
        <v>野庭町６２２番地野庭団地４棟４２９号</v>
      </c>
      <c r="AV59" t="s">
        <v>17</v>
      </c>
      <c r="AW59" s="32"/>
      <c r="AX59" s="32"/>
    </row>
    <row r="60" spans="1:55">
      <c r="A60" s="50" t="s">
        <v>499</v>
      </c>
      <c r="B60" s="51" t="s">
        <v>103</v>
      </c>
      <c r="C60" s="17">
        <v>4</v>
      </c>
      <c r="D60" s="72" t="s">
        <v>275</v>
      </c>
      <c r="E60" t="s">
        <v>546</v>
      </c>
      <c r="F60" t="s">
        <v>359</v>
      </c>
      <c r="L60" s="17">
        <v>4</v>
      </c>
      <c r="M60" s="3">
        <v>3</v>
      </c>
      <c r="N60" s="3">
        <v>1</v>
      </c>
      <c r="T60" s="3" t="s">
        <v>436</v>
      </c>
      <c r="U60" s="3" t="s">
        <v>436</v>
      </c>
      <c r="V60" s="3"/>
      <c r="W60" s="3"/>
      <c r="X60" s="3"/>
      <c r="Y60" s="3"/>
      <c r="Z60" s="3"/>
      <c r="AA60" s="10">
        <v>1.5</v>
      </c>
      <c r="AB60" s="10">
        <v>1.5</v>
      </c>
      <c r="AH60" s="2">
        <v>3000</v>
      </c>
      <c r="AI60" s="2">
        <v>3000</v>
      </c>
      <c r="AJ60" s="2"/>
      <c r="AK60" s="2"/>
      <c r="AL60" s="2"/>
      <c r="AM60" s="2" t="s">
        <v>157</v>
      </c>
      <c r="AO60" s="8">
        <v>44044</v>
      </c>
      <c r="AP60" s="9" t="str">
        <f t="shared" ca="1" si="12"/>
        <v>5年8ヶ月</v>
      </c>
      <c r="AQ60" s="8">
        <v>28758</v>
      </c>
      <c r="AR60">
        <f t="shared" ca="1" si="13"/>
        <v>47</v>
      </c>
      <c r="AS60" t="s">
        <v>276</v>
      </c>
      <c r="AT60" t="str">
        <f t="shared" si="20"/>
        <v>横浜市戸塚区</v>
      </c>
      <c r="AU60" t="str">
        <f t="shared" si="21"/>
        <v>上矢部町２８３８番地１５</v>
      </c>
      <c r="AV60" t="s">
        <v>104</v>
      </c>
      <c r="AW60" s="32"/>
      <c r="AX60" s="32"/>
    </row>
    <row r="61" spans="1:55">
      <c r="A61" s="50" t="s">
        <v>500</v>
      </c>
      <c r="B61" s="51" t="s">
        <v>105</v>
      </c>
      <c r="C61" s="17">
        <v>3</v>
      </c>
      <c r="D61" s="53" t="s">
        <v>277</v>
      </c>
      <c r="E61" t="s">
        <v>356</v>
      </c>
      <c r="L61" s="17">
        <v>3</v>
      </c>
      <c r="M61" s="3">
        <v>3</v>
      </c>
      <c r="T61" s="3" t="s">
        <v>436</v>
      </c>
      <c r="U61" s="3"/>
      <c r="V61" s="3"/>
      <c r="W61" s="3"/>
      <c r="X61" s="3"/>
      <c r="Y61" s="3"/>
      <c r="Z61" s="3"/>
      <c r="AA61" s="10">
        <v>1.5</v>
      </c>
      <c r="AH61" s="2">
        <v>2800</v>
      </c>
      <c r="AI61" s="2"/>
      <c r="AJ61" s="2"/>
      <c r="AK61" s="2"/>
      <c r="AL61" s="2"/>
      <c r="AM61" s="2" t="s">
        <v>160</v>
      </c>
      <c r="AO61" s="8">
        <v>45040</v>
      </c>
      <c r="AP61" s="9" t="str">
        <f t="shared" ca="1" si="12"/>
        <v>2年11ヶ月</v>
      </c>
      <c r="AQ61" s="8">
        <v>25634</v>
      </c>
      <c r="AR61">
        <f t="shared" ca="1" si="13"/>
        <v>56</v>
      </c>
      <c r="AS61" t="s">
        <v>278</v>
      </c>
      <c r="AT61" t="str">
        <f t="shared" si="20"/>
        <v>横浜市港南区</v>
      </c>
      <c r="AU61" t="str">
        <f t="shared" si="21"/>
        <v>日限山１丁目６１番５号</v>
      </c>
      <c r="AV61" t="s">
        <v>106</v>
      </c>
      <c r="AW61" s="32"/>
      <c r="AX61" s="32"/>
    </row>
    <row r="62" spans="1:55">
      <c r="A62" s="50" t="s">
        <v>501</v>
      </c>
      <c r="B62" s="51" t="s">
        <v>107</v>
      </c>
      <c r="C62" s="17">
        <v>2</v>
      </c>
      <c r="D62" s="53" t="s">
        <v>279</v>
      </c>
      <c r="E62" t="s">
        <v>356</v>
      </c>
      <c r="L62" s="17">
        <v>3</v>
      </c>
      <c r="M62" s="3">
        <v>3</v>
      </c>
      <c r="T62" s="3" t="s">
        <v>436</v>
      </c>
      <c r="U62" s="3"/>
      <c r="V62" s="3"/>
      <c r="W62" s="3"/>
      <c r="X62" s="3"/>
      <c r="Y62" s="3"/>
      <c r="Z62" s="3"/>
      <c r="AA62" s="10">
        <v>1.5</v>
      </c>
      <c r="AH62" s="2">
        <v>2800</v>
      </c>
      <c r="AI62" s="2"/>
      <c r="AJ62" s="2"/>
      <c r="AK62" s="2"/>
      <c r="AL62" s="2"/>
      <c r="AM62" s="2" t="s">
        <v>160</v>
      </c>
      <c r="AO62" s="8">
        <v>45105</v>
      </c>
      <c r="AP62" s="9" t="str">
        <f t="shared" ca="1" si="12"/>
        <v>2年9ヶ月</v>
      </c>
      <c r="AQ62" s="8">
        <v>24395</v>
      </c>
      <c r="AR62">
        <f t="shared" ca="1" si="13"/>
        <v>59</v>
      </c>
      <c r="AS62" t="s">
        <v>280</v>
      </c>
      <c r="AT62" t="str">
        <f t="shared" si="20"/>
        <v>鎌倉市</v>
      </c>
      <c r="AU62" t="str">
        <f t="shared" si="21"/>
        <v>大船２丁目２４番１９号</v>
      </c>
      <c r="AV62" t="s">
        <v>108</v>
      </c>
      <c r="AW62" s="32"/>
      <c r="AX62" s="32"/>
    </row>
    <row r="63" spans="1:55">
      <c r="A63" s="50" t="s">
        <v>506</v>
      </c>
      <c r="B63" s="51" t="s">
        <v>109</v>
      </c>
      <c r="C63" s="17">
        <v>3</v>
      </c>
      <c r="D63" s="72" t="s">
        <v>281</v>
      </c>
      <c r="E63" t="s">
        <v>356</v>
      </c>
      <c r="F63" t="s">
        <v>359</v>
      </c>
      <c r="L63" s="17">
        <v>6</v>
      </c>
      <c r="M63" s="3">
        <v>4</v>
      </c>
      <c r="N63" s="3">
        <v>2</v>
      </c>
      <c r="T63" s="3" t="s">
        <v>436</v>
      </c>
      <c r="U63" s="3" t="s">
        <v>436</v>
      </c>
      <c r="V63" s="3"/>
      <c r="W63" s="3"/>
      <c r="X63" s="3"/>
      <c r="Y63" s="3"/>
      <c r="Z63" s="3"/>
      <c r="AA63" s="10">
        <v>1.5</v>
      </c>
      <c r="AB63" s="10">
        <v>1.5</v>
      </c>
      <c r="AH63" s="2">
        <v>2800</v>
      </c>
      <c r="AI63" s="2">
        <v>2800</v>
      </c>
      <c r="AJ63" s="2"/>
      <c r="AK63" s="2"/>
      <c r="AL63" s="2"/>
      <c r="AM63" s="2" t="s">
        <v>160</v>
      </c>
      <c r="AO63" s="8">
        <v>44044</v>
      </c>
      <c r="AP63" s="9" t="str">
        <f t="shared" ca="1" si="12"/>
        <v>5年8ヶ月</v>
      </c>
      <c r="AQ63" s="8">
        <v>23089</v>
      </c>
      <c r="AR63">
        <f t="shared" ca="1" si="13"/>
        <v>63</v>
      </c>
      <c r="AS63" t="s">
        <v>282</v>
      </c>
      <c r="AT63" t="str">
        <f t="shared" si="20"/>
        <v>横浜市戸塚区</v>
      </c>
      <c r="AU63" t="str">
        <f t="shared" si="21"/>
        <v>鳥が丘４１番地８</v>
      </c>
      <c r="AV63" t="s">
        <v>110</v>
      </c>
      <c r="AW63" s="32"/>
      <c r="AX63" s="32"/>
    </row>
    <row r="64" spans="1:55">
      <c r="A64" s="50" t="s">
        <v>502</v>
      </c>
      <c r="B64" s="51" t="s">
        <v>111</v>
      </c>
      <c r="C64" s="17">
        <v>2</v>
      </c>
      <c r="D64" s="53" t="s">
        <v>283</v>
      </c>
      <c r="E64" t="s">
        <v>356</v>
      </c>
      <c r="L64" s="17">
        <v>2</v>
      </c>
      <c r="M64" s="3">
        <v>2</v>
      </c>
      <c r="T64" s="3" t="s">
        <v>436</v>
      </c>
      <c r="U64" s="3" t="s">
        <v>436</v>
      </c>
      <c r="V64" s="3"/>
      <c r="W64" s="3"/>
      <c r="X64" s="3"/>
      <c r="Y64" s="3"/>
      <c r="Z64" s="3"/>
      <c r="AA64" s="10">
        <v>1.5</v>
      </c>
      <c r="AH64" s="2">
        <v>2800</v>
      </c>
      <c r="AI64" s="2"/>
      <c r="AJ64" s="2"/>
      <c r="AK64" s="2"/>
      <c r="AL64" s="2"/>
      <c r="AM64" s="2" t="s">
        <v>160</v>
      </c>
      <c r="AO64" s="8">
        <v>45840</v>
      </c>
      <c r="AP64" s="9" t="str">
        <f t="shared" ca="1" si="12"/>
        <v>0年9ヶ月</v>
      </c>
      <c r="AQ64" s="8">
        <v>28425</v>
      </c>
      <c r="AR64">
        <f t="shared" ca="1" si="13"/>
        <v>48</v>
      </c>
      <c r="AS64" t="s">
        <v>284</v>
      </c>
      <c r="AT64" t="str">
        <f>IF(COUNTIF(AS64,"*区*"),LEFT(AS64,FIND("区",AS64)),IF(COUNTIF(AS64,"*市*"),LEFT(AS64,FIND("市",AS64)),IF(COUNTIF(AS64,"*郡*"),LEFT(AS64,FIND("郡",AS64)),"エラー")))</f>
        <v>横浜市栄区</v>
      </c>
      <c r="AU64" t="str">
        <f>RIGHT(AS64,LEN(AS64)-LEN(AT64))</f>
        <v>長沼町５７１番地２</v>
      </c>
      <c r="AV64" t="s">
        <v>35</v>
      </c>
      <c r="AW64" s="32"/>
      <c r="AX64" s="32"/>
    </row>
    <row r="65" spans="1:55">
      <c r="A65" s="50" t="s">
        <v>503</v>
      </c>
      <c r="B65" s="51" t="s">
        <v>112</v>
      </c>
      <c r="C65" s="17">
        <v>3</v>
      </c>
      <c r="D65" s="9" t="s">
        <v>285</v>
      </c>
      <c r="E65" t="s">
        <v>357</v>
      </c>
      <c r="L65" s="17">
        <v>3</v>
      </c>
      <c r="M65" s="3">
        <v>3</v>
      </c>
      <c r="T65" s="4" t="s">
        <v>426</v>
      </c>
      <c r="AA65" s="10">
        <v>4</v>
      </c>
      <c r="AH65" s="2">
        <v>1225</v>
      </c>
      <c r="AI65" s="2"/>
      <c r="AJ65" s="2"/>
      <c r="AK65" s="2"/>
      <c r="AL65" s="2"/>
      <c r="AM65" s="2" t="s">
        <v>160</v>
      </c>
      <c r="AO65" s="8">
        <v>44308</v>
      </c>
      <c r="AP65" s="9" t="str">
        <f t="shared" ca="1" si="12"/>
        <v>4年11ヶ月</v>
      </c>
      <c r="AQ65" s="8">
        <v>19358</v>
      </c>
      <c r="AR65">
        <f t="shared" ca="1" si="13"/>
        <v>73</v>
      </c>
      <c r="AS65" t="s">
        <v>286</v>
      </c>
      <c r="AT65" t="str">
        <f t="shared" si="20"/>
        <v>横浜市泉区</v>
      </c>
      <c r="AU65" t="str">
        <f t="shared" si="21"/>
        <v>上飯田町４００番地　中野ハイツＡ－１０３</v>
      </c>
      <c r="AV65" t="s">
        <v>16</v>
      </c>
      <c r="AW65" s="32"/>
      <c r="AX65" s="32"/>
    </row>
    <row r="66" spans="1:55">
      <c r="A66" s="50" t="s">
        <v>504</v>
      </c>
      <c r="B66" s="51" t="s">
        <v>113</v>
      </c>
      <c r="C66" s="17">
        <v>2</v>
      </c>
      <c r="D66" s="9" t="s">
        <v>287</v>
      </c>
      <c r="E66" t="s">
        <v>357</v>
      </c>
      <c r="L66" s="17">
        <v>2</v>
      </c>
      <c r="M66" s="3">
        <v>2</v>
      </c>
      <c r="T66" s="4" t="s">
        <v>426</v>
      </c>
      <c r="AA66" s="10">
        <v>4</v>
      </c>
      <c r="AH66" s="2">
        <v>1225</v>
      </c>
      <c r="AI66" s="2"/>
      <c r="AJ66" s="2"/>
      <c r="AK66" s="2"/>
      <c r="AL66" s="2"/>
      <c r="AM66" s="2" t="s">
        <v>157</v>
      </c>
      <c r="AO66" s="8">
        <v>45939</v>
      </c>
      <c r="AP66" s="9" t="str">
        <f t="shared" ca="1" si="12"/>
        <v>0年6ヶ月</v>
      </c>
      <c r="AQ66" s="8">
        <v>17432</v>
      </c>
      <c r="AR66">
        <f t="shared" ca="1" si="13"/>
        <v>78</v>
      </c>
      <c r="AS66" t="s">
        <v>288</v>
      </c>
      <c r="AT66" t="str">
        <f t="shared" si="20"/>
        <v>横浜市泉区</v>
      </c>
      <c r="AU66" t="str">
        <f t="shared" si="21"/>
        <v>中田南４丁目３４番２２号</v>
      </c>
      <c r="AV66" t="s">
        <v>114</v>
      </c>
      <c r="AW66" s="32"/>
      <c r="AX66" s="32"/>
    </row>
    <row r="67" spans="1:55">
      <c r="A67" s="50" t="s">
        <v>505</v>
      </c>
      <c r="B67" s="51" t="s">
        <v>115</v>
      </c>
      <c r="C67" s="17">
        <v>5</v>
      </c>
      <c r="D67" s="53" t="s">
        <v>289</v>
      </c>
      <c r="E67" t="s">
        <v>357</v>
      </c>
      <c r="L67" s="17">
        <v>5</v>
      </c>
      <c r="M67" s="3">
        <v>5</v>
      </c>
      <c r="T67" s="3" t="s">
        <v>436</v>
      </c>
      <c r="U67" s="3"/>
      <c r="V67" s="3"/>
      <c r="W67" s="3"/>
      <c r="X67" s="3"/>
      <c r="Y67" s="3"/>
      <c r="Z67" s="3"/>
      <c r="AA67" s="10">
        <v>1.5</v>
      </c>
      <c r="AH67" s="2">
        <v>3000</v>
      </c>
      <c r="AJ67" s="2"/>
      <c r="AK67" s="2"/>
      <c r="AL67" s="2">
        <v>2500</v>
      </c>
      <c r="AM67" s="2" t="s">
        <v>160</v>
      </c>
      <c r="AO67" s="8">
        <v>44044</v>
      </c>
      <c r="AP67" s="9" t="str">
        <f t="shared" ca="1" si="12"/>
        <v>5年8ヶ月</v>
      </c>
      <c r="AQ67" s="8">
        <v>25948</v>
      </c>
      <c r="AR67">
        <f t="shared" ca="1" si="13"/>
        <v>55</v>
      </c>
      <c r="AS67" t="s">
        <v>290</v>
      </c>
      <c r="AT67" t="str">
        <f t="shared" si="20"/>
        <v>横浜市戸塚区</v>
      </c>
      <c r="AU67" t="str">
        <f t="shared" si="21"/>
        <v>深谷町１３０２番地  アークプラザ戸塚４０２号</v>
      </c>
      <c r="AV67" t="s">
        <v>116</v>
      </c>
      <c r="AW67" s="32"/>
      <c r="AX67" s="32"/>
      <c r="BB67" t="s">
        <v>449</v>
      </c>
      <c r="BC67" t="s">
        <v>443</v>
      </c>
    </row>
    <row r="68" spans="1:55">
      <c r="A68" s="50" t="s">
        <v>568</v>
      </c>
      <c r="B68" s="51" t="s">
        <v>117</v>
      </c>
      <c r="C68" s="17">
        <v>2</v>
      </c>
      <c r="D68" s="53" t="s">
        <v>291</v>
      </c>
      <c r="E68" t="s">
        <v>357</v>
      </c>
      <c r="L68" s="17">
        <v>2</v>
      </c>
      <c r="M68" s="3">
        <v>2</v>
      </c>
      <c r="T68" s="3" t="s">
        <v>436</v>
      </c>
      <c r="U68" s="3"/>
      <c r="V68" s="3"/>
      <c r="W68" s="3"/>
      <c r="X68" s="3"/>
      <c r="Y68" s="3"/>
      <c r="Z68" s="3"/>
      <c r="AA68" s="10">
        <v>1.5</v>
      </c>
      <c r="AH68" s="2">
        <v>2800</v>
      </c>
      <c r="AI68" s="2"/>
      <c r="AJ68" s="2"/>
      <c r="AK68" s="2"/>
      <c r="AM68" s="2" t="s">
        <v>160</v>
      </c>
      <c r="AO68" s="8">
        <v>44044</v>
      </c>
      <c r="AP68" s="9" t="str">
        <f t="shared" ca="1" si="12"/>
        <v>5年8ヶ月</v>
      </c>
      <c r="AQ68" s="8">
        <v>34143</v>
      </c>
      <c r="AR68">
        <f t="shared" ca="1" si="13"/>
        <v>32</v>
      </c>
      <c r="AS68" t="s">
        <v>292</v>
      </c>
      <c r="AT68" t="str">
        <f t="shared" si="20"/>
        <v>横浜市戸塚区</v>
      </c>
      <c r="AU68" t="str">
        <f t="shared" si="21"/>
        <v>深谷町５５番地４６</v>
      </c>
      <c r="AV68" t="s">
        <v>116</v>
      </c>
      <c r="AW68" s="32"/>
      <c r="AX68" s="32"/>
    </row>
    <row r="69" spans="1:55">
      <c r="A69" s="50" t="s">
        <v>451</v>
      </c>
      <c r="B69" s="51" t="s">
        <v>118</v>
      </c>
      <c r="C69" s="17">
        <v>3</v>
      </c>
      <c r="D69" s="45" t="s">
        <v>293</v>
      </c>
      <c r="E69" t="s">
        <v>357</v>
      </c>
      <c r="F69" t="s">
        <v>438</v>
      </c>
      <c r="M69" s="3">
        <v>1</v>
      </c>
      <c r="N69" s="19">
        <v>8</v>
      </c>
      <c r="T69" s="3" t="s">
        <v>436</v>
      </c>
      <c r="U69" s="4" t="s">
        <v>334</v>
      </c>
      <c r="V69" s="4" t="s">
        <v>335</v>
      </c>
      <c r="W69" s="3"/>
      <c r="X69" s="3"/>
      <c r="Y69" s="3"/>
      <c r="Z69" s="3"/>
      <c r="AA69" s="10">
        <v>1.5</v>
      </c>
      <c r="AH69" s="2">
        <v>3000</v>
      </c>
      <c r="AI69" s="2">
        <v>1300</v>
      </c>
      <c r="AJ69" s="2">
        <v>1600</v>
      </c>
      <c r="AK69" s="2"/>
      <c r="AL69" s="2"/>
      <c r="AM69" s="2" t="s">
        <v>160</v>
      </c>
      <c r="AO69" s="8">
        <v>40128</v>
      </c>
      <c r="AP69" s="9" t="str">
        <f t="shared" ca="1" si="12"/>
        <v>16年5ヶ月</v>
      </c>
      <c r="AQ69" s="8">
        <v>26633</v>
      </c>
      <c r="AR69">
        <f t="shared" ca="1" si="13"/>
        <v>53</v>
      </c>
      <c r="AS69" t="s">
        <v>181</v>
      </c>
      <c r="AT69" t="str">
        <f t="shared" si="20"/>
        <v>横浜市栄区</v>
      </c>
      <c r="AU69" t="str">
        <f t="shared" si="21"/>
        <v>長沼町２６６番地ヴィラージュ石井１０２号</v>
      </c>
      <c r="AV69" t="s">
        <v>35</v>
      </c>
      <c r="AW69" s="32"/>
      <c r="AX69" s="32"/>
    </row>
    <row r="70" spans="1:55">
      <c r="A70" s="50" t="s">
        <v>507</v>
      </c>
      <c r="B70" s="51" t="s">
        <v>119</v>
      </c>
      <c r="C70" s="17">
        <v>4</v>
      </c>
      <c r="D70" s="42" t="s">
        <v>294</v>
      </c>
      <c r="E70" t="s">
        <v>358</v>
      </c>
      <c r="F70" t="s">
        <v>358</v>
      </c>
      <c r="L70" s="17">
        <v>4</v>
      </c>
      <c r="M70" s="3">
        <v>2</v>
      </c>
      <c r="N70" s="3">
        <v>2</v>
      </c>
      <c r="T70" s="4" t="s">
        <v>542</v>
      </c>
      <c r="U70" s="4" t="s">
        <v>426</v>
      </c>
      <c r="AA70" s="10">
        <v>7</v>
      </c>
      <c r="AH70" s="2">
        <v>1225</v>
      </c>
      <c r="AI70" s="2"/>
      <c r="AJ70" s="2"/>
      <c r="AK70" s="2"/>
      <c r="AL70" s="2"/>
      <c r="AM70" s="2" t="s">
        <v>157</v>
      </c>
      <c r="AO70" s="8">
        <v>44249</v>
      </c>
      <c r="AP70" s="9" t="str">
        <f t="shared" ca="1" si="12"/>
        <v>5年1ヶ月</v>
      </c>
      <c r="AQ70" s="8">
        <v>17937</v>
      </c>
      <c r="AR70">
        <f t="shared" ca="1" si="13"/>
        <v>77</v>
      </c>
      <c r="AS70" t="s">
        <v>295</v>
      </c>
      <c r="AT70" t="s">
        <v>7</v>
      </c>
      <c r="AU70" t="s">
        <v>8</v>
      </c>
      <c r="AV70" t="s">
        <v>120</v>
      </c>
      <c r="AW70" s="32"/>
      <c r="AX70" s="32"/>
    </row>
    <row r="71" spans="1:55">
      <c r="A71" s="50" t="s">
        <v>508</v>
      </c>
      <c r="B71" s="51" t="s">
        <v>121</v>
      </c>
      <c r="C71" s="17">
        <v>5</v>
      </c>
      <c r="D71" s="42" t="s">
        <v>296</v>
      </c>
      <c r="E71" t="s">
        <v>358</v>
      </c>
      <c r="F71" t="s">
        <v>356</v>
      </c>
      <c r="L71" s="17">
        <v>5</v>
      </c>
      <c r="M71" s="3">
        <v>3</v>
      </c>
      <c r="N71" s="3">
        <v>2</v>
      </c>
      <c r="T71" s="4" t="s">
        <v>542</v>
      </c>
      <c r="U71" s="4" t="s">
        <v>541</v>
      </c>
      <c r="AA71" s="10">
        <v>7</v>
      </c>
      <c r="AH71" s="2">
        <v>1225</v>
      </c>
      <c r="AI71" s="2"/>
      <c r="AJ71" s="2"/>
      <c r="AK71" s="2"/>
      <c r="AL71" s="2"/>
      <c r="AM71" s="2" t="s">
        <v>157</v>
      </c>
      <c r="AN71" t="s">
        <v>162</v>
      </c>
      <c r="AO71" s="8">
        <v>45689</v>
      </c>
      <c r="AP71" s="9" t="str">
        <f t="shared" ca="1" si="12"/>
        <v>1年2ヶ月</v>
      </c>
      <c r="AQ71" s="8">
        <v>24625</v>
      </c>
      <c r="AR71">
        <f t="shared" ca="1" si="13"/>
        <v>58</v>
      </c>
      <c r="AS71" t="s">
        <v>297</v>
      </c>
      <c r="AT71" t="str">
        <f t="shared" ref="AT71:AT78" si="22">IF(COUNTIF(AS71,"*区*"),LEFT(AS71,FIND("区",AS71)),IF(COUNTIF(AS71,"*市*"),LEFT(AS71,FIND("市",AS71)),IF(COUNTIF(AS71,"*郡*"),LEFT(AS71,FIND("郡",AS71)),"エラー")))</f>
        <v>横浜市戸塚区</v>
      </c>
      <c r="AU71" t="str">
        <f t="shared" ref="AU71:AU78" si="23">RIGHT(AS71,LEN(AS71)-LEN(AT71))</f>
        <v>俣野町１４０３ドリームハイツ１５－５０５</v>
      </c>
      <c r="AV71" t="s">
        <v>122</v>
      </c>
      <c r="AW71" s="32"/>
      <c r="AX71" s="32"/>
    </row>
    <row r="72" spans="1:55">
      <c r="A72" s="50" t="s">
        <v>446</v>
      </c>
      <c r="B72" s="51" t="s">
        <v>123</v>
      </c>
      <c r="C72" s="17">
        <v>5</v>
      </c>
      <c r="D72" s="45" t="s">
        <v>298</v>
      </c>
      <c r="E72" t="s">
        <v>358</v>
      </c>
      <c r="F72" t="s">
        <v>438</v>
      </c>
      <c r="M72" s="3">
        <v>3</v>
      </c>
      <c r="N72" s="19">
        <v>8</v>
      </c>
      <c r="T72" s="3" t="s">
        <v>436</v>
      </c>
      <c r="U72" s="4" t="s">
        <v>334</v>
      </c>
      <c r="V72" s="4" t="s">
        <v>335</v>
      </c>
      <c r="W72" s="3"/>
      <c r="X72" s="3"/>
      <c r="Y72" s="3"/>
      <c r="Z72" s="3"/>
      <c r="AA72" s="10">
        <v>1.5</v>
      </c>
      <c r="AH72" s="2">
        <v>3000</v>
      </c>
      <c r="AI72" s="2">
        <v>1300</v>
      </c>
      <c r="AJ72" s="2">
        <v>1600</v>
      </c>
      <c r="AK72" s="2"/>
      <c r="AL72" s="2"/>
      <c r="AM72" s="2" t="s">
        <v>157</v>
      </c>
      <c r="AO72" s="8">
        <v>41030</v>
      </c>
      <c r="AP72" s="9" t="str">
        <f t="shared" ca="1" si="12"/>
        <v>13年11ヶ月</v>
      </c>
      <c r="AQ72" s="8">
        <v>26856</v>
      </c>
      <c r="AR72">
        <f t="shared" ca="1" si="13"/>
        <v>52</v>
      </c>
      <c r="AS72" t="s">
        <v>299</v>
      </c>
      <c r="AT72" t="str">
        <f t="shared" si="22"/>
        <v>横浜市戸塚区</v>
      </c>
      <c r="AU72" t="str">
        <f t="shared" si="23"/>
        <v>上矢部町４４０番地１　グランガーデン東戸塚５４０号</v>
      </c>
      <c r="AV72" t="s">
        <v>18</v>
      </c>
      <c r="AW72" s="32"/>
      <c r="AX72" s="32"/>
    </row>
    <row r="73" spans="1:55">
      <c r="A73" s="50" t="s">
        <v>517</v>
      </c>
      <c r="B73" s="51" t="s">
        <v>124</v>
      </c>
      <c r="C73" s="17">
        <v>2</v>
      </c>
      <c r="D73" s="53" t="s">
        <v>300</v>
      </c>
      <c r="E73" t="s">
        <v>358</v>
      </c>
      <c r="L73" s="17">
        <v>2</v>
      </c>
      <c r="M73" s="3">
        <v>2</v>
      </c>
      <c r="T73" s="3" t="s">
        <v>436</v>
      </c>
      <c r="U73" s="3"/>
      <c r="V73" s="3"/>
      <c r="W73" s="3"/>
      <c r="X73" s="3"/>
      <c r="Y73" s="3"/>
      <c r="Z73" s="3"/>
      <c r="AA73" s="10">
        <v>1.5</v>
      </c>
      <c r="AH73" s="2">
        <v>2800</v>
      </c>
      <c r="AI73" s="2"/>
      <c r="AJ73" s="2"/>
      <c r="AK73" s="2"/>
      <c r="AL73" s="2"/>
      <c r="AM73" s="2" t="s">
        <v>157</v>
      </c>
      <c r="AO73" s="8">
        <v>44044</v>
      </c>
      <c r="AP73" s="9" t="str">
        <f t="shared" ca="1" si="12"/>
        <v>5年8ヶ月</v>
      </c>
      <c r="AQ73" s="8">
        <v>28720</v>
      </c>
      <c r="AR73">
        <f t="shared" ca="1" si="13"/>
        <v>47</v>
      </c>
      <c r="AS73" t="s">
        <v>301</v>
      </c>
      <c r="AT73" t="str">
        <f t="shared" si="22"/>
        <v>横浜市戸塚区</v>
      </c>
      <c r="AU73" t="str">
        <f t="shared" si="23"/>
        <v>平戸町１１７４番地１　県営平戸高層ｱﾊﾟｰﾄ４棟９０６号</v>
      </c>
      <c r="AV73" t="s">
        <v>122</v>
      </c>
      <c r="AW73" s="32"/>
      <c r="AX73" s="32"/>
    </row>
    <row r="74" spans="1:55">
      <c r="A74" s="50" t="s">
        <v>509</v>
      </c>
      <c r="B74" s="51" t="s">
        <v>125</v>
      </c>
      <c r="C74" s="17">
        <v>5</v>
      </c>
      <c r="D74" s="53" t="s">
        <v>302</v>
      </c>
      <c r="E74" t="s">
        <v>358</v>
      </c>
      <c r="L74" s="17">
        <v>5</v>
      </c>
      <c r="M74" s="3">
        <v>5</v>
      </c>
      <c r="T74" s="3" t="s">
        <v>436</v>
      </c>
      <c r="U74" s="3"/>
      <c r="V74" s="3"/>
      <c r="W74" s="3"/>
      <c r="X74" s="3"/>
      <c r="Y74" s="3"/>
      <c r="Z74" s="3"/>
      <c r="AA74" s="10">
        <v>1.5</v>
      </c>
      <c r="AH74" s="2">
        <v>2700</v>
      </c>
      <c r="AI74" s="2"/>
      <c r="AJ74" s="2"/>
      <c r="AK74" s="2"/>
      <c r="AL74" s="2"/>
      <c r="AM74" t="s">
        <v>126</v>
      </c>
      <c r="AO74" s="8">
        <v>44586</v>
      </c>
      <c r="AP74" s="9" t="str">
        <f t="shared" ca="1" si="12"/>
        <v>4年2ヶ月</v>
      </c>
      <c r="AQ74" s="8">
        <v>33203</v>
      </c>
      <c r="AR74">
        <f t="shared" ca="1" si="13"/>
        <v>35</v>
      </c>
      <c r="AS74" t="s">
        <v>303</v>
      </c>
      <c r="AT74" t="str">
        <f t="shared" si="22"/>
        <v>横浜市保土ヶ谷区</v>
      </c>
      <c r="AU74" t="str">
        <f t="shared" si="23"/>
        <v>仏向町９５８番地ジュネツヒルＡー１０２号</v>
      </c>
      <c r="AV74" t="s">
        <v>127</v>
      </c>
      <c r="AW74" s="32"/>
      <c r="AX74" s="32"/>
    </row>
    <row r="75" spans="1:55">
      <c r="A75" s="50" t="s">
        <v>510</v>
      </c>
      <c r="B75" s="51" t="s">
        <v>326</v>
      </c>
      <c r="C75" s="17">
        <v>2</v>
      </c>
      <c r="D75" s="53" t="s">
        <v>316</v>
      </c>
      <c r="E75" t="s">
        <v>358</v>
      </c>
      <c r="L75" s="17">
        <v>2</v>
      </c>
      <c r="M75" s="3">
        <v>2</v>
      </c>
      <c r="T75" s="3" t="s">
        <v>436</v>
      </c>
      <c r="U75" s="3"/>
      <c r="V75" s="3"/>
      <c r="W75" s="3"/>
      <c r="X75" s="3"/>
      <c r="Y75" s="3"/>
      <c r="Z75" s="3"/>
      <c r="AA75" s="10">
        <v>1.5</v>
      </c>
      <c r="AH75" s="2">
        <v>2700</v>
      </c>
      <c r="AI75" s="2"/>
      <c r="AJ75" s="2"/>
      <c r="AK75" s="2"/>
      <c r="AL75" s="2"/>
      <c r="AM75" s="2" t="s">
        <v>160</v>
      </c>
      <c r="AO75" s="8">
        <v>45538</v>
      </c>
      <c r="AP75" s="9" t="str">
        <f t="shared" ca="1" si="12"/>
        <v>1年7ヶ月</v>
      </c>
      <c r="AQ75" s="8">
        <v>34466</v>
      </c>
      <c r="AR75">
        <f t="shared" ca="1" si="13"/>
        <v>31</v>
      </c>
      <c r="AS75" t="s">
        <v>317</v>
      </c>
      <c r="AT75" t="str">
        <f t="shared" si="22"/>
        <v>横浜市保土ヶ谷区</v>
      </c>
      <c r="AU75" t="str">
        <f t="shared" si="23"/>
        <v>東川島町６２番地５号２階</v>
      </c>
      <c r="AV75" t="s">
        <v>140</v>
      </c>
      <c r="AW75" s="32"/>
      <c r="AX75" s="32"/>
    </row>
    <row r="76" spans="1:55">
      <c r="A76" s="50" t="s">
        <v>511</v>
      </c>
      <c r="B76" s="51" t="s">
        <v>128</v>
      </c>
      <c r="C76" s="17">
        <v>5</v>
      </c>
      <c r="D76" s="9" t="s">
        <v>304</v>
      </c>
      <c r="E76" t="s">
        <v>359</v>
      </c>
      <c r="L76" s="17">
        <v>5</v>
      </c>
      <c r="M76" s="3">
        <v>5</v>
      </c>
      <c r="T76" s="4" t="s">
        <v>426</v>
      </c>
      <c r="AA76" s="10">
        <v>4</v>
      </c>
      <c r="AH76" s="2">
        <v>1225</v>
      </c>
      <c r="AI76" s="2"/>
      <c r="AJ76" s="2"/>
      <c r="AK76" s="2"/>
      <c r="AL76" s="2"/>
      <c r="AM76" s="2" t="s">
        <v>157</v>
      </c>
      <c r="AN76" t="s">
        <v>159</v>
      </c>
      <c r="AO76" s="8">
        <v>42645</v>
      </c>
      <c r="AP76" s="9" t="str">
        <f t="shared" ca="1" si="12"/>
        <v>9年6ヶ月</v>
      </c>
      <c r="AQ76" s="8">
        <v>18032</v>
      </c>
      <c r="AR76">
        <f t="shared" ca="1" si="13"/>
        <v>76</v>
      </c>
      <c r="AS76" t="s">
        <v>305</v>
      </c>
      <c r="AT76" t="str">
        <f t="shared" si="22"/>
        <v>横浜市保土ヶ谷区</v>
      </c>
      <c r="AU76" t="str">
        <f t="shared" si="23"/>
        <v>法泉３丁目２２番法泉ハイツ１５棟１０１号</v>
      </c>
      <c r="AV76" t="s">
        <v>129</v>
      </c>
      <c r="AW76" s="32"/>
      <c r="AX76" s="32"/>
    </row>
    <row r="77" spans="1:55">
      <c r="A77" s="50" t="s">
        <v>512</v>
      </c>
      <c r="B77" s="51" t="s">
        <v>130</v>
      </c>
      <c r="C77" s="17">
        <v>1</v>
      </c>
      <c r="D77" s="9" t="s">
        <v>306</v>
      </c>
      <c r="E77" t="s">
        <v>359</v>
      </c>
      <c r="L77" s="17">
        <v>1</v>
      </c>
      <c r="M77" s="3">
        <v>1</v>
      </c>
      <c r="T77" s="4" t="s">
        <v>426</v>
      </c>
      <c r="AA77" s="10">
        <v>4</v>
      </c>
      <c r="AH77" s="2">
        <v>1225</v>
      </c>
      <c r="AI77" s="2"/>
      <c r="AJ77" s="2"/>
      <c r="AK77" s="2"/>
      <c r="AL77" s="2"/>
      <c r="AM77" s="2" t="s">
        <v>160</v>
      </c>
      <c r="AO77" s="8">
        <v>45986</v>
      </c>
      <c r="AP77" s="9" t="str">
        <f t="shared" ca="1" si="12"/>
        <v>0年4ヶ月</v>
      </c>
      <c r="AQ77" s="8">
        <v>18343</v>
      </c>
      <c r="AR77">
        <f t="shared" ca="1" si="13"/>
        <v>76</v>
      </c>
      <c r="AS77" t="s">
        <v>307</v>
      </c>
      <c r="AT77" t="str">
        <f t="shared" si="22"/>
        <v>横浜市旭区</v>
      </c>
      <c r="AU77" t="str">
        <f t="shared" si="23"/>
        <v>三反田町２６６－５</v>
      </c>
      <c r="AV77" t="s">
        <v>131</v>
      </c>
      <c r="AW77" s="32"/>
      <c r="AX77" s="32"/>
    </row>
    <row r="78" spans="1:55">
      <c r="A78" s="50" t="s">
        <v>513</v>
      </c>
      <c r="B78" s="51" t="s">
        <v>132</v>
      </c>
      <c r="C78" s="17">
        <v>5</v>
      </c>
      <c r="D78" s="53" t="s">
        <v>308</v>
      </c>
      <c r="E78" t="s">
        <v>359</v>
      </c>
      <c r="L78" s="17">
        <v>6</v>
      </c>
      <c r="M78" s="3">
        <v>6</v>
      </c>
      <c r="T78" s="3" t="s">
        <v>436</v>
      </c>
      <c r="U78" s="3"/>
      <c r="V78" s="3"/>
      <c r="W78" s="3"/>
      <c r="X78" s="3"/>
      <c r="Y78" s="3"/>
      <c r="Z78" s="3"/>
      <c r="AA78" s="10">
        <v>1.5</v>
      </c>
      <c r="AH78" s="2">
        <v>2800</v>
      </c>
      <c r="AJ78" s="2"/>
      <c r="AK78" s="2"/>
      <c r="AL78" s="2">
        <v>5000</v>
      </c>
      <c r="AM78" s="2" t="s">
        <v>160</v>
      </c>
      <c r="AO78" s="8">
        <v>44044</v>
      </c>
      <c r="AP78" s="9" t="str">
        <f t="shared" ca="1" si="12"/>
        <v>5年8ヶ月</v>
      </c>
      <c r="AQ78" s="8">
        <v>24947</v>
      </c>
      <c r="AR78">
        <f t="shared" ca="1" si="13"/>
        <v>57</v>
      </c>
      <c r="AS78" t="s">
        <v>309</v>
      </c>
      <c r="AT78" t="str">
        <f t="shared" si="22"/>
        <v>横浜市保土ヶ谷区</v>
      </c>
      <c r="AU78" t="str">
        <f t="shared" si="23"/>
        <v>権田坂３丁目２番１－２１４号</v>
      </c>
      <c r="AV78" t="s">
        <v>133</v>
      </c>
      <c r="AW78" s="32"/>
      <c r="AX78" s="32"/>
      <c r="BB78" t="s">
        <v>449</v>
      </c>
      <c r="BC78" t="s">
        <v>443</v>
      </c>
    </row>
    <row r="79" spans="1:55">
      <c r="A79" s="50" t="s">
        <v>514</v>
      </c>
      <c r="B79" s="51" t="s">
        <v>134</v>
      </c>
      <c r="C79" s="17">
        <v>2</v>
      </c>
      <c r="D79" s="53" t="s">
        <v>310</v>
      </c>
      <c r="E79" t="s">
        <v>359</v>
      </c>
      <c r="L79" s="17">
        <v>2</v>
      </c>
      <c r="M79" s="3">
        <v>2</v>
      </c>
      <c r="T79" s="3" t="s">
        <v>436</v>
      </c>
      <c r="U79" s="3"/>
      <c r="V79" s="3"/>
      <c r="W79" s="3"/>
      <c r="X79" s="3"/>
      <c r="Y79" s="3"/>
      <c r="Z79" s="3"/>
      <c r="AA79" s="10">
        <v>1.5</v>
      </c>
      <c r="AH79" s="2">
        <v>2800</v>
      </c>
      <c r="AI79" s="2"/>
      <c r="AJ79" s="2"/>
      <c r="AK79" s="2"/>
      <c r="AL79" s="2"/>
      <c r="AM79" s="2" t="s">
        <v>157</v>
      </c>
      <c r="AO79" s="8">
        <v>44044</v>
      </c>
      <c r="AP79" s="9" t="str">
        <f t="shared" ref="AP79:AP84" ca="1" si="24">DATEDIF(AO79,TODAY(),"Y")&amp;"年"&amp;DATEDIF(AO79,TODAY(),"YM")&amp;"ヶ月"</f>
        <v>5年8ヶ月</v>
      </c>
      <c r="AQ79" s="8">
        <v>27898</v>
      </c>
      <c r="AR79">
        <f t="shared" ref="AR79:AR82" ca="1" si="25">DATEDIF(AQ79,TODAY(),"Y")</f>
        <v>49</v>
      </c>
      <c r="AS79" t="s">
        <v>311</v>
      </c>
      <c r="AT79" t="str">
        <f t="shared" ref="AT79:AT84" si="26">IF(COUNTIF(AS79,"*区*"),LEFT(AS79,FIND("区",AS79)),IF(COUNTIF(AS79,"*市*"),LEFT(AS79,FIND("市",AS79)),IF(COUNTIF(AS79,"*郡*"),LEFT(AS79,FIND("郡",AS79)),"エラー")))</f>
        <v>横浜市保土ヶ谷区</v>
      </c>
      <c r="AU79" t="str">
        <f t="shared" ref="AU79:AU84" si="27">RIGHT(AS79,LEN(AS79)-LEN(AT79))</f>
        <v>狩場町１６４番地３３　ｸﾞﾘｰﾝﾋﾙｽﾞ横浜E棟１０４号</v>
      </c>
      <c r="AV79" t="s">
        <v>135</v>
      </c>
      <c r="AW79" s="32"/>
      <c r="AX79" s="32"/>
    </row>
    <row r="80" spans="1:55">
      <c r="A80" s="50" t="s">
        <v>515</v>
      </c>
      <c r="B80" s="51" t="s">
        <v>136</v>
      </c>
      <c r="C80" s="17">
        <v>4</v>
      </c>
      <c r="D80" s="53" t="s">
        <v>312</v>
      </c>
      <c r="E80" t="s">
        <v>359</v>
      </c>
      <c r="L80" s="17">
        <v>4</v>
      </c>
      <c r="M80" s="3">
        <v>4</v>
      </c>
      <c r="T80" s="3" t="s">
        <v>436</v>
      </c>
      <c r="U80" s="3"/>
      <c r="V80" s="3"/>
      <c r="W80" s="3"/>
      <c r="X80" s="3"/>
      <c r="Y80" s="3"/>
      <c r="Z80" s="3"/>
      <c r="AA80" s="10">
        <v>1.5</v>
      </c>
      <c r="AH80" s="2">
        <v>2700</v>
      </c>
      <c r="AI80" s="2"/>
      <c r="AJ80" s="2"/>
      <c r="AK80" s="2"/>
      <c r="AL80" s="2"/>
      <c r="AM80" s="2" t="s">
        <v>157</v>
      </c>
      <c r="AO80" s="8">
        <v>44044</v>
      </c>
      <c r="AP80" s="9" t="str">
        <f t="shared" ca="1" si="24"/>
        <v>5年8ヶ月</v>
      </c>
      <c r="AQ80" s="8">
        <v>24620</v>
      </c>
      <c r="AR80">
        <f t="shared" ca="1" si="25"/>
        <v>58</v>
      </c>
      <c r="AS80" t="s">
        <v>313</v>
      </c>
      <c r="AT80" t="str">
        <f t="shared" si="26"/>
        <v>横浜市保土ヶ谷区</v>
      </c>
      <c r="AU80" t="str">
        <f t="shared" si="27"/>
        <v>星川３丁目３番３０号　　090-3813-2760</v>
      </c>
      <c r="AV80" t="s">
        <v>137</v>
      </c>
      <c r="AW80" s="32"/>
      <c r="AX80" s="32"/>
    </row>
    <row r="81" spans="1:79">
      <c r="A81" s="50" t="s">
        <v>569</v>
      </c>
      <c r="B81" s="51" t="s">
        <v>138</v>
      </c>
      <c r="C81" s="17">
        <v>4</v>
      </c>
      <c r="D81" s="53" t="s">
        <v>314</v>
      </c>
      <c r="E81" t="s">
        <v>359</v>
      </c>
      <c r="L81" s="17">
        <v>3</v>
      </c>
      <c r="M81" s="3">
        <v>3</v>
      </c>
      <c r="T81" s="3" t="s">
        <v>436</v>
      </c>
      <c r="U81" s="3"/>
      <c r="V81" s="3"/>
      <c r="W81" s="3"/>
      <c r="X81" s="3"/>
      <c r="Y81" s="3"/>
      <c r="Z81" s="3"/>
      <c r="AA81" s="10">
        <v>1.5</v>
      </c>
      <c r="AH81" s="2">
        <v>2700</v>
      </c>
      <c r="AI81" s="2"/>
      <c r="AJ81" s="2"/>
      <c r="AK81" s="2"/>
      <c r="AL81" s="2"/>
      <c r="AM81" s="2" t="s">
        <v>160</v>
      </c>
      <c r="AO81" s="8">
        <v>45445</v>
      </c>
      <c r="AP81" s="9" t="str">
        <f t="shared" ca="1" si="24"/>
        <v>1年10ヶ月</v>
      </c>
      <c r="AQ81" s="8">
        <v>31238</v>
      </c>
      <c r="AR81">
        <f t="shared" ca="1" si="25"/>
        <v>40</v>
      </c>
      <c r="AS81" t="s">
        <v>315</v>
      </c>
      <c r="AT81" t="str">
        <f t="shared" si="26"/>
        <v>横浜市保南区</v>
      </c>
      <c r="AU81" t="str">
        <f t="shared" si="27"/>
        <v>別所５丁目２６番２４　ドエルアルス上大岡西３０３号</v>
      </c>
      <c r="AV81" t="s">
        <v>139</v>
      </c>
      <c r="AW81" s="32"/>
      <c r="AX81" s="32"/>
    </row>
    <row r="82" spans="1:79">
      <c r="A82" s="50" t="s">
        <v>516</v>
      </c>
      <c r="B82" s="51" t="s">
        <v>141</v>
      </c>
      <c r="C82" s="17">
        <v>3</v>
      </c>
      <c r="D82" s="53" t="s">
        <v>318</v>
      </c>
      <c r="E82" t="s">
        <v>359</v>
      </c>
      <c r="L82" s="17">
        <v>3</v>
      </c>
      <c r="M82" s="3">
        <v>3</v>
      </c>
      <c r="T82" s="3" t="s">
        <v>436</v>
      </c>
      <c r="U82" s="3"/>
      <c r="V82" s="3"/>
      <c r="W82" s="3"/>
      <c r="X82" s="3"/>
      <c r="Y82" s="3"/>
      <c r="Z82" s="3"/>
      <c r="AA82" s="10">
        <v>1.5</v>
      </c>
      <c r="AH82" s="2">
        <v>3000</v>
      </c>
      <c r="AI82" s="2"/>
      <c r="AJ82" s="2"/>
      <c r="AK82" s="2"/>
      <c r="AL82" s="2"/>
      <c r="AM82" s="2" t="s">
        <v>160</v>
      </c>
      <c r="AO82" s="8">
        <v>45671</v>
      </c>
      <c r="AP82" s="9" t="str">
        <f t="shared" ca="1" si="24"/>
        <v>1年3ヶ月</v>
      </c>
      <c r="AQ82" s="8">
        <v>25401</v>
      </c>
      <c r="AR82">
        <f t="shared" ca="1" si="25"/>
        <v>56</v>
      </c>
      <c r="AS82" t="s">
        <v>319</v>
      </c>
      <c r="AT82" t="str">
        <f t="shared" si="26"/>
        <v>横浜市戸塚区</v>
      </c>
      <c r="AU82" t="str">
        <f t="shared" si="27"/>
        <v>深谷町９１７番地２４</v>
      </c>
      <c r="AV82" t="s">
        <v>116</v>
      </c>
      <c r="AW82" s="32"/>
      <c r="AX82" s="32"/>
    </row>
    <row r="83" spans="1:79">
      <c r="A83" s="50" t="s">
        <v>518</v>
      </c>
      <c r="B83" s="51" t="s">
        <v>142</v>
      </c>
      <c r="C83" s="17">
        <v>3</v>
      </c>
      <c r="D83" s="53" t="s">
        <v>320</v>
      </c>
      <c r="E83" t="s">
        <v>359</v>
      </c>
      <c r="L83" s="17">
        <v>3</v>
      </c>
      <c r="M83" s="3">
        <v>3</v>
      </c>
      <c r="T83" s="3" t="s">
        <v>436</v>
      </c>
      <c r="U83" s="3"/>
      <c r="V83" s="3"/>
      <c r="W83" s="3"/>
      <c r="X83" s="3"/>
      <c r="Y83" s="3"/>
      <c r="Z83" s="3"/>
      <c r="AA83" s="10">
        <v>1.5</v>
      </c>
      <c r="AH83" s="2">
        <v>3000</v>
      </c>
      <c r="AI83" s="2"/>
      <c r="AJ83" s="2"/>
      <c r="AK83" s="2"/>
      <c r="AL83" s="2"/>
      <c r="AM83" s="2" t="s">
        <v>160</v>
      </c>
      <c r="AO83" s="8">
        <v>45674</v>
      </c>
      <c r="AP83" s="9" t="str">
        <f t="shared" ca="1" si="24"/>
        <v>1年2ヶ月</v>
      </c>
      <c r="AQ83" s="8">
        <v>25044</v>
      </c>
      <c r="AR83">
        <f ca="1">DATEDIF(AQ83,TODAY(),"Y")</f>
        <v>57</v>
      </c>
      <c r="AS83" t="s">
        <v>321</v>
      </c>
      <c r="AT83" t="str">
        <f t="shared" si="26"/>
        <v>横浜市港南区</v>
      </c>
      <c r="AU83" t="str">
        <f t="shared" si="27"/>
        <v>下永谷６丁目６番１６</v>
      </c>
      <c r="AV83" t="s">
        <v>15</v>
      </c>
      <c r="AW83" s="32"/>
      <c r="AX83" s="32"/>
    </row>
    <row r="84" spans="1:79">
      <c r="A84" s="50" t="s">
        <v>519</v>
      </c>
      <c r="B84" s="51" t="s">
        <v>143</v>
      </c>
      <c r="C84" s="17">
        <v>3</v>
      </c>
      <c r="D84" s="53" t="s">
        <v>322</v>
      </c>
      <c r="E84" t="s">
        <v>359</v>
      </c>
      <c r="L84" s="17">
        <v>3</v>
      </c>
      <c r="M84" s="3">
        <v>3</v>
      </c>
      <c r="T84" s="3" t="s">
        <v>539</v>
      </c>
      <c r="U84" s="3"/>
      <c r="V84" s="3"/>
      <c r="W84" s="3"/>
      <c r="X84" s="3"/>
      <c r="Y84" s="3"/>
      <c r="Z84" s="3"/>
      <c r="AA84" s="10">
        <v>1.5</v>
      </c>
      <c r="AH84" s="2">
        <v>2700</v>
      </c>
      <c r="AI84" s="2"/>
      <c r="AJ84" s="2"/>
      <c r="AK84" s="2"/>
      <c r="AL84" s="2"/>
      <c r="AM84" s="2" t="s">
        <v>157</v>
      </c>
      <c r="AO84" s="8">
        <v>45949</v>
      </c>
      <c r="AP84" s="9" t="str">
        <f t="shared" ca="1" si="24"/>
        <v>0年5ヶ月</v>
      </c>
      <c r="AQ84" s="8">
        <v>18543</v>
      </c>
      <c r="AR84">
        <f ca="1">DATEDIF(AQ84,TODAY(),"Y")</f>
        <v>75</v>
      </c>
      <c r="AS84" t="s">
        <v>323</v>
      </c>
      <c r="AT84" t="str">
        <f t="shared" si="26"/>
        <v>横浜市保土ヶ谷区</v>
      </c>
      <c r="AU84" t="str">
        <f t="shared" si="27"/>
        <v>狩場町４５４番地７２号</v>
      </c>
      <c r="AV84" t="s">
        <v>135</v>
      </c>
      <c r="AW84" s="33"/>
      <c r="AX84" s="33"/>
    </row>
    <row r="85" spans="1:79">
      <c r="A85" s="50" t="s">
        <v>496</v>
      </c>
      <c r="B85" s="51" t="s">
        <v>97</v>
      </c>
      <c r="C85" s="17">
        <v>2</v>
      </c>
      <c r="D85" s="36" t="s">
        <v>262</v>
      </c>
      <c r="E85" s="36" t="s">
        <v>561</v>
      </c>
      <c r="F85" s="36"/>
      <c r="G85" s="36"/>
      <c r="H85" s="36"/>
      <c r="I85" s="36"/>
      <c r="J85" s="36"/>
      <c r="K85" s="36"/>
      <c r="L85" s="35">
        <v>2</v>
      </c>
      <c r="M85" s="37">
        <v>2</v>
      </c>
      <c r="N85" s="37"/>
      <c r="O85" s="37"/>
      <c r="P85" s="37"/>
      <c r="Q85" s="37"/>
      <c r="R85" s="37"/>
      <c r="S85" s="37"/>
      <c r="T85" s="38" t="s">
        <v>598</v>
      </c>
      <c r="U85" s="38"/>
      <c r="V85" s="38"/>
      <c r="W85" s="38"/>
      <c r="X85" s="38"/>
      <c r="Y85" s="38"/>
      <c r="Z85" s="38"/>
      <c r="AA85" s="39">
        <v>5</v>
      </c>
      <c r="AB85" s="39"/>
      <c r="AC85" s="39"/>
      <c r="AD85" s="39"/>
      <c r="AE85" s="39"/>
      <c r="AF85" s="39"/>
      <c r="AG85" s="39"/>
      <c r="AH85" s="40">
        <v>1225</v>
      </c>
      <c r="AI85" s="40"/>
      <c r="AJ85" s="40"/>
      <c r="AK85" s="40"/>
      <c r="AL85" s="40"/>
      <c r="AM85" s="40" t="s">
        <v>157</v>
      </c>
      <c r="AN85" s="36"/>
      <c r="AO85" s="41">
        <v>45754</v>
      </c>
      <c r="AP85" s="36" t="str">
        <f ca="1">DATEDIF(AO85,TODAY(),"Y")&amp;"年"&amp;DATEDIF(AO85,TODAY(),"YM")&amp;"ヶ月"</f>
        <v>1年0ヶ月</v>
      </c>
      <c r="AQ85" s="41">
        <v>22748</v>
      </c>
      <c r="AR85" s="36">
        <f ca="1">DATEDIF(AQ85,TODAY(),"Y")</f>
        <v>64</v>
      </c>
      <c r="AS85" s="36" t="s">
        <v>263</v>
      </c>
      <c r="AT85" s="36" t="str">
        <f>IF(COUNTIF(AS85,"*区*"),LEFT(AS85,FIND("区",AS85)),IF(COUNTIF(AS85,"*市*"),LEFT(AS85,FIND("市",AS85)),IF(COUNTIF(AS85,"*郡*"),LEFT(AS85,FIND("郡",AS85)),"エラー")))</f>
        <v>横浜市泉区</v>
      </c>
      <c r="AU85" s="36" t="str">
        <f>RIGHT(AS85,LEN(AS85)-LEN(AT85))</f>
        <v>上飯田町２６７０番地いちょう団地１７－３０３</v>
      </c>
      <c r="AV85" s="36" t="s">
        <v>599</v>
      </c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  <c r="BK85" s="36"/>
      <c r="BL85" s="36"/>
      <c r="BM85" s="36"/>
      <c r="BN85" s="36"/>
      <c r="BO85" s="36"/>
      <c r="BP85" s="36"/>
      <c r="BQ85" s="36"/>
      <c r="BR85" s="36"/>
      <c r="BS85" s="36"/>
      <c r="BT85" s="36"/>
      <c r="BU85" s="36"/>
      <c r="BV85" s="36"/>
      <c r="BW85" s="36"/>
      <c r="BX85" s="36"/>
      <c r="BY85" s="36"/>
      <c r="BZ85" s="36"/>
      <c r="CA85" s="36"/>
    </row>
    <row r="86" spans="1:79">
      <c r="B86" s="50">
        <f>COUNTA(B3:B85)</f>
        <v>83</v>
      </c>
    </row>
    <row r="94" spans="1:79">
      <c r="B94" s="51"/>
      <c r="AI94" s="2"/>
      <c r="AJ94" s="2"/>
      <c r="AK94" s="2"/>
      <c r="AL94" s="2"/>
      <c r="AM94" s="2"/>
      <c r="AO94" s="1"/>
    </row>
    <row r="95" spans="1:79">
      <c r="B95" s="51"/>
      <c r="AH95" s="2"/>
      <c r="AI95" s="2"/>
      <c r="AJ95" s="2"/>
      <c r="AK95" s="2"/>
      <c r="AL95" s="2"/>
      <c r="AM95" s="2"/>
      <c r="AO95" s="1"/>
    </row>
    <row r="96" spans="1:79">
      <c r="B96" s="51"/>
      <c r="U96" s="3"/>
      <c r="V96" s="3"/>
      <c r="W96" s="3"/>
      <c r="X96" s="3"/>
      <c r="Y96" s="3"/>
      <c r="Z96" s="3"/>
      <c r="AB96" s="7"/>
      <c r="AC96" s="7"/>
      <c r="AD96" s="7"/>
      <c r="AE96" s="7"/>
      <c r="AF96" s="7"/>
      <c r="AG96" s="7"/>
      <c r="AH96" s="2"/>
      <c r="AI96" s="2"/>
      <c r="AJ96" s="2"/>
      <c r="AK96" s="2"/>
      <c r="AL96" s="2"/>
      <c r="AM96" s="2"/>
      <c r="AO96" s="1"/>
    </row>
    <row r="97" spans="2:41">
      <c r="B97" s="51"/>
      <c r="AI97" s="2"/>
      <c r="AJ97" s="2"/>
      <c r="AK97" s="2"/>
      <c r="AL97" s="2"/>
      <c r="AM97" s="2"/>
      <c r="AO97" s="1"/>
    </row>
    <row r="98" spans="2:41">
      <c r="B98" s="51"/>
      <c r="AI98" s="2"/>
      <c r="AJ98" s="2"/>
      <c r="AK98" s="2"/>
      <c r="AL98" s="2"/>
      <c r="AM98" s="2"/>
      <c r="AO98" s="1"/>
    </row>
    <row r="113" spans="2:37">
      <c r="B113" s="51"/>
      <c r="AI113" s="2"/>
      <c r="AJ113" s="2"/>
      <c r="AK113" s="2"/>
    </row>
    <row r="114" spans="2:37">
      <c r="B114" s="51"/>
      <c r="AI114" s="2"/>
      <c r="AJ114" s="2"/>
      <c r="AK114" s="2"/>
    </row>
    <row r="120" spans="2:37">
      <c r="B120" s="51"/>
      <c r="AJ120" s="2"/>
      <c r="AK120" s="2"/>
    </row>
    <row r="121" spans="2:37">
      <c r="B121" s="51"/>
      <c r="AH121" s="2"/>
      <c r="AI121" s="2"/>
      <c r="AJ121" s="2"/>
      <c r="AK121" s="2"/>
    </row>
    <row r="123" spans="2:37">
      <c r="B123" s="51"/>
      <c r="AI123" s="2"/>
      <c r="AJ123" s="2"/>
      <c r="AK123" s="2"/>
    </row>
    <row r="124" spans="2:37">
      <c r="B124" s="51"/>
      <c r="AI124" s="2"/>
      <c r="AJ124" s="2"/>
      <c r="AK124" s="2"/>
    </row>
    <row r="137" spans="2:43">
      <c r="B137" s="51"/>
      <c r="T137" s="3"/>
      <c r="U137" s="3"/>
      <c r="V137" s="3"/>
      <c r="W137" s="3"/>
      <c r="X137" s="3"/>
      <c r="Y137" s="3"/>
      <c r="Z137" s="3"/>
      <c r="AA137" s="7"/>
      <c r="AB137" s="7"/>
      <c r="AC137" s="7"/>
      <c r="AD137" s="7"/>
      <c r="AE137" s="7"/>
      <c r="AF137" s="7"/>
      <c r="AG137" s="7"/>
      <c r="AH137" s="3"/>
      <c r="AI137" s="3"/>
      <c r="AJ137" s="3"/>
      <c r="AK137" s="3"/>
      <c r="AM137" s="1"/>
      <c r="AO137" s="1"/>
      <c r="AQ137" s="1"/>
    </row>
    <row r="138" spans="2:43">
      <c r="B138" s="51"/>
      <c r="T138" s="3"/>
      <c r="U138" s="3"/>
      <c r="V138" s="3"/>
      <c r="W138" s="3"/>
      <c r="X138" s="3"/>
      <c r="Y138" s="3"/>
      <c r="Z138" s="3"/>
      <c r="AA138" s="7"/>
      <c r="AB138" s="7"/>
      <c r="AC138" s="7"/>
      <c r="AD138" s="7"/>
      <c r="AE138" s="7"/>
      <c r="AF138" s="7"/>
      <c r="AG138" s="7"/>
      <c r="AH138" s="3"/>
      <c r="AI138" s="3"/>
      <c r="AJ138" s="3"/>
      <c r="AK138" s="3"/>
      <c r="AM138" s="1"/>
      <c r="AO138" s="1"/>
      <c r="AQ138" s="1"/>
    </row>
    <row r="139" spans="2:43">
      <c r="B139" s="51"/>
      <c r="T139" s="3"/>
      <c r="U139" s="3"/>
      <c r="V139" s="3"/>
      <c r="W139" s="3"/>
      <c r="X139" s="3"/>
      <c r="Y139" s="3"/>
      <c r="Z139" s="3"/>
      <c r="AA139" s="7"/>
      <c r="AB139" s="7"/>
      <c r="AC139" s="7"/>
      <c r="AD139" s="7"/>
      <c r="AE139" s="7"/>
      <c r="AF139" s="7"/>
      <c r="AG139" s="7"/>
      <c r="AH139" s="3"/>
      <c r="AI139" s="3"/>
      <c r="AJ139" s="3"/>
      <c r="AK139" s="3"/>
      <c r="AM139" s="1"/>
      <c r="AO139" s="1"/>
      <c r="AQ139" s="1"/>
    </row>
    <row r="140" spans="2:43">
      <c r="B140" s="51"/>
      <c r="AH140" s="2"/>
      <c r="AI140" s="2"/>
      <c r="AJ140" s="2"/>
      <c r="AK140" s="2"/>
      <c r="AM140" s="1"/>
      <c r="AO140" s="1"/>
      <c r="AQ140" s="1"/>
    </row>
    <row r="141" spans="2:43">
      <c r="B141" s="51"/>
      <c r="AH141" s="2"/>
      <c r="AI141" s="2"/>
      <c r="AJ141" s="2"/>
      <c r="AK141" s="2"/>
      <c r="AM141" s="1"/>
      <c r="AO141" s="1"/>
      <c r="AQ141" s="1"/>
    </row>
    <row r="142" spans="2:43">
      <c r="B142" s="51"/>
      <c r="AH142" s="2"/>
      <c r="AI142" s="2"/>
      <c r="AJ142" s="2"/>
      <c r="AK142" s="2"/>
      <c r="AM142" s="1"/>
      <c r="AO142" s="1"/>
      <c r="AQ142" s="1"/>
    </row>
    <row r="143" spans="2:43">
      <c r="B143" s="51"/>
      <c r="AH143" s="2"/>
      <c r="AI143" s="2"/>
      <c r="AJ143" s="2"/>
      <c r="AK143" s="2"/>
      <c r="AM143" s="1"/>
      <c r="AO143" s="1"/>
      <c r="AQ143" s="1"/>
    </row>
    <row r="144" spans="2:43">
      <c r="B144" s="51"/>
      <c r="AH144" s="2"/>
      <c r="AI144" s="2"/>
      <c r="AJ144" s="2"/>
      <c r="AK144" s="2"/>
      <c r="AM144" s="1"/>
      <c r="AO144" s="1"/>
      <c r="AQ144" s="1"/>
    </row>
    <row r="145" spans="2:43">
      <c r="B145" s="51"/>
      <c r="AH145" s="2"/>
      <c r="AI145" s="2"/>
      <c r="AJ145" s="2"/>
      <c r="AK145" s="2"/>
      <c r="AM145" s="1"/>
      <c r="AO145" s="1"/>
      <c r="AQ145" s="1"/>
    </row>
    <row r="146" spans="2:43">
      <c r="B146" s="51"/>
      <c r="AH146" s="2"/>
      <c r="AI146" s="2"/>
      <c r="AJ146" s="2"/>
      <c r="AK146" s="2"/>
      <c r="AM146" s="1"/>
      <c r="AO146" s="1"/>
      <c r="AQ146" s="1"/>
    </row>
    <row r="147" spans="2:43">
      <c r="B147" s="51"/>
      <c r="AH147" s="2"/>
      <c r="AI147" s="2"/>
      <c r="AJ147" s="2"/>
      <c r="AK147" s="2"/>
      <c r="AM147" s="1"/>
      <c r="AO147" s="1"/>
      <c r="AQ147" s="1"/>
    </row>
    <row r="148" spans="2:43">
      <c r="B148" s="51"/>
      <c r="AH148" s="2"/>
      <c r="AI148" s="2"/>
      <c r="AJ148" s="2"/>
      <c r="AK148" s="2"/>
      <c r="AM148" s="1"/>
      <c r="AO148" s="1"/>
      <c r="AQ148" s="1"/>
    </row>
    <row r="149" spans="2:43">
      <c r="B149" s="51"/>
      <c r="AH149" s="2"/>
      <c r="AI149" s="2"/>
      <c r="AJ149" s="2"/>
      <c r="AK149" s="2"/>
      <c r="AM149" s="1"/>
      <c r="AO149" s="1"/>
      <c r="AQ149" s="1"/>
    </row>
    <row r="150" spans="2:43">
      <c r="B150" s="51"/>
      <c r="AH150" s="2"/>
      <c r="AI150" s="2"/>
      <c r="AJ150" s="2"/>
      <c r="AK150" s="2"/>
      <c r="AM150" s="1"/>
      <c r="AO150" s="1"/>
      <c r="AQ150" s="1"/>
    </row>
    <row r="151" spans="2:43">
      <c r="B151" s="51"/>
      <c r="AH151" s="2"/>
      <c r="AI151" s="2"/>
      <c r="AJ151" s="2"/>
      <c r="AK151" s="2"/>
      <c r="AM151" s="1"/>
      <c r="AO151" s="1"/>
      <c r="AQ151" s="1"/>
    </row>
    <row r="152" spans="2:43">
      <c r="B152" s="51"/>
      <c r="AH152" s="2"/>
      <c r="AI152" s="2"/>
      <c r="AJ152" s="2"/>
      <c r="AK152" s="2"/>
      <c r="AM152" s="1"/>
      <c r="AO152" s="1"/>
      <c r="AQ152" s="1"/>
    </row>
    <row r="153" spans="2:43">
      <c r="B153" s="51"/>
      <c r="AH153" s="2"/>
      <c r="AI153" s="2"/>
      <c r="AJ153" s="2"/>
      <c r="AK153" s="2"/>
      <c r="AM153" s="1"/>
      <c r="AO153" s="1"/>
      <c r="AQ153" s="1"/>
    </row>
    <row r="154" spans="2:43">
      <c r="B154" s="51"/>
      <c r="AH154" s="2"/>
      <c r="AI154" s="2"/>
      <c r="AJ154" s="2"/>
      <c r="AK154" s="2"/>
      <c r="AM154" s="1"/>
      <c r="AO154" s="1"/>
      <c r="AQ154" s="1"/>
    </row>
    <row r="155" spans="2:43">
      <c r="B155" s="51"/>
      <c r="AH155" s="2"/>
      <c r="AI155" s="2"/>
      <c r="AJ155" s="2"/>
      <c r="AK155" s="2"/>
      <c r="AM155" s="1"/>
      <c r="AO155" s="1"/>
      <c r="AQ155" s="1"/>
    </row>
    <row r="156" spans="2:43">
      <c r="B156" s="51"/>
      <c r="AH156" s="2"/>
      <c r="AI156" s="2"/>
      <c r="AJ156" s="2"/>
      <c r="AK156" s="2"/>
      <c r="AM156" s="1"/>
      <c r="AO156" s="1"/>
      <c r="AQ156" s="1"/>
    </row>
    <row r="157" spans="2:43">
      <c r="B157" s="51"/>
      <c r="AH157" s="2"/>
      <c r="AI157" s="2"/>
      <c r="AJ157" s="2"/>
      <c r="AK157" s="2"/>
      <c r="AM157" s="1"/>
      <c r="AO157" s="1"/>
      <c r="AQ157" s="1"/>
    </row>
    <row r="163" spans="34:43">
      <c r="AH163" s="2"/>
      <c r="AI163" s="2"/>
      <c r="AJ163" s="2"/>
      <c r="AK163" s="2"/>
      <c r="AM163" s="1"/>
      <c r="AO163" s="1"/>
      <c r="AQ163" s="1"/>
    </row>
    <row r="164" spans="34:43">
      <c r="AH164" s="2"/>
      <c r="AI164" s="2"/>
      <c r="AJ164" s="2"/>
      <c r="AK164" s="2"/>
      <c r="AM164" s="1"/>
      <c r="AO164" s="1"/>
      <c r="AQ164" s="1"/>
    </row>
  </sheetData>
  <phoneticPr fontId="1"/>
  <pageMargins left="0.16" right="0.16" top="0.62992125984251968" bottom="0.15748031496062992" header="0.31496062992125984" footer="0.15748031496062992"/>
  <pageSetup paperSize="9" scale="60" orientation="landscape" r:id="rId1"/>
  <headerFooter>
    <oddHeader>&amp;L&amp;A&amp;R&amp;D</oddHeader>
    <oddFooter>&amp;R&amp;P</oddFooter>
  </headerFooter>
  <rowBreaks count="1" manualBreakCount="1">
    <brk id="42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F26C0-11E0-48E0-A9A2-7A41D8B4E407}">
  <sheetPr codeName="Sheet3">
    <tabColor theme="7" tint="0.59999389629810485"/>
    <pageSetUpPr fitToPage="1"/>
  </sheetPr>
  <dimension ref="B1:CP64"/>
  <sheetViews>
    <sheetView showZeros="0" tabSelected="1" view="pageBreakPreview" topLeftCell="AJ1" zoomScale="82" zoomScaleNormal="100" zoomScaleSheetLayoutView="82" workbookViewId="0">
      <selection activeCell="CM4" sqref="CM4"/>
    </sheetView>
  </sheetViews>
  <sheetFormatPr defaultColWidth="2.09765625" defaultRowHeight="19.8" customHeight="1"/>
  <cols>
    <col min="1" max="1" width="2.59765625" style="11" customWidth="1"/>
    <col min="2" max="2" width="8.59765625" style="11" customWidth="1"/>
    <col min="3" max="3" width="2.59765625" style="11" bestFit="1" customWidth="1"/>
    <col min="4" max="4" width="2.59765625" style="11" customWidth="1"/>
    <col min="5" max="8" width="2.09765625" style="11"/>
    <col min="9" max="9" width="2.19921875" style="11" customWidth="1"/>
    <col min="10" max="15" width="2.09765625" style="11"/>
    <col min="16" max="16" width="2.5" style="11" customWidth="1"/>
    <col min="17" max="20" width="2.09765625" style="11"/>
    <col min="21" max="34" width="2.59765625" style="11" customWidth="1"/>
    <col min="35" max="38" width="2.09765625" style="11"/>
    <col min="39" max="39" width="9.3984375" style="11" customWidth="1"/>
    <col min="40" max="88" width="2.09765625" style="11"/>
    <col min="89" max="89" width="2.296875" style="11" customWidth="1"/>
    <col min="90" max="90" width="2" style="11" customWidth="1"/>
    <col min="91" max="16384" width="2.09765625" style="11"/>
  </cols>
  <sheetData>
    <row r="1" spans="2:94" ht="19.8" customHeight="1" thickBot="1">
      <c r="K1" s="14" t="s">
        <v>360</v>
      </c>
      <c r="AM1" s="12" t="s">
        <v>389</v>
      </c>
      <c r="AN1" s="11" t="s">
        <v>390</v>
      </c>
    </row>
    <row r="2" spans="2:94" ht="19.8" customHeight="1" thickBot="1">
      <c r="AN2" s="12" t="s">
        <v>367</v>
      </c>
      <c r="BZ2" s="79">
        <v>46054</v>
      </c>
      <c r="CA2" s="80"/>
      <c r="CB2" s="80"/>
      <c r="CC2" s="80"/>
      <c r="CD2" s="80"/>
      <c r="CE2" s="80"/>
      <c r="CF2" s="80"/>
      <c r="CG2" s="81"/>
      <c r="CI2" s="74" t="s">
        <v>442</v>
      </c>
      <c r="CJ2" s="75"/>
      <c r="CK2" s="75"/>
      <c r="CL2" s="75"/>
      <c r="CM2" s="75"/>
      <c r="CN2" s="75"/>
      <c r="CO2" s="75"/>
      <c r="CP2" s="76"/>
    </row>
    <row r="3" spans="2:94" ht="19.8" customHeight="1">
      <c r="AM3" s="12"/>
    </row>
    <row r="4" spans="2:94" ht="19.8" customHeight="1">
      <c r="B4" s="11" t="s">
        <v>396</v>
      </c>
      <c r="P4" s="11" t="str">
        <f>IFERROR(VLOOKUP($CI$2,清掃パート勤務形態一覧!$A$2:$BZ$200,4,FALSE),"")</f>
        <v>内尾　直美</v>
      </c>
      <c r="W4" s="11" t="s">
        <v>371</v>
      </c>
      <c r="AM4" s="60"/>
      <c r="AN4" s="11" t="s">
        <v>368</v>
      </c>
    </row>
    <row r="5" spans="2:94" ht="19.8" customHeight="1">
      <c r="B5" s="11" t="s">
        <v>361</v>
      </c>
      <c r="AN5" s="12" t="s">
        <v>391</v>
      </c>
    </row>
    <row r="6" spans="2:94" ht="19.8" customHeight="1">
      <c r="AN6" s="12" t="s">
        <v>392</v>
      </c>
    </row>
    <row r="7" spans="2:94" ht="19.8" customHeight="1">
      <c r="B7" s="11" t="s">
        <v>372</v>
      </c>
      <c r="C7" s="11" t="s">
        <v>373</v>
      </c>
      <c r="AN7" s="12" t="s">
        <v>393</v>
      </c>
    </row>
    <row r="8" spans="2:94" ht="19.8" customHeight="1">
      <c r="C8" s="11" t="s">
        <v>362</v>
      </c>
      <c r="AN8" s="12"/>
    </row>
    <row r="9" spans="2:94" ht="19.8" customHeight="1">
      <c r="AM9" s="12" t="s">
        <v>558</v>
      </c>
    </row>
    <row r="10" spans="2:94" ht="19.8" customHeight="1">
      <c r="C10" s="11" t="s">
        <v>403</v>
      </c>
      <c r="I10" s="11" t="str">
        <f>IFERROR(VLOOKUP($CI$2,清掃パート勤務形態一覧!$A$2:$BZ$200,5,FALSE),"")</f>
        <v>東横フェスタ2</v>
      </c>
      <c r="U10" s="11" t="s">
        <v>556</v>
      </c>
      <c r="AM10" s="12" t="s">
        <v>563</v>
      </c>
    </row>
    <row r="11" spans="2:94" ht="19.8" customHeight="1">
      <c r="AM11" s="12"/>
    </row>
    <row r="12" spans="2:94" ht="19.8" customHeight="1">
      <c r="C12" s="11" t="s">
        <v>375</v>
      </c>
      <c r="I12" s="11" t="s">
        <v>374</v>
      </c>
      <c r="U12" s="11" t="s">
        <v>557</v>
      </c>
      <c r="AM12" s="12" t="s">
        <v>369</v>
      </c>
    </row>
    <row r="13" spans="2:94" ht="19.8" customHeight="1">
      <c r="B13" s="11" t="s">
        <v>363</v>
      </c>
      <c r="AM13" s="12" t="s">
        <v>370</v>
      </c>
    </row>
    <row r="14" spans="2:94" ht="19.8" customHeight="1">
      <c r="B14" s="11" t="s">
        <v>376</v>
      </c>
      <c r="C14" s="11" t="s">
        <v>562</v>
      </c>
      <c r="AM14" s="12"/>
    </row>
    <row r="15" spans="2:94" ht="19.8" customHeight="1">
      <c r="I15" s="11" t="str">
        <f>IFERROR(VLOOKUP($CI$2,清掃パート勤務形態一覧!$A$2:$BZ$200,20,FALSE),"")</f>
        <v>9:30～15:00</v>
      </c>
      <c r="J15" s="64"/>
      <c r="K15" s="64"/>
      <c r="L15" s="64"/>
      <c r="M15" s="64"/>
      <c r="N15" s="64"/>
      <c r="O15" s="64"/>
      <c r="P15" s="64"/>
      <c r="Q15" s="64"/>
      <c r="W15" s="56" t="s">
        <v>412</v>
      </c>
      <c r="X15" s="16"/>
      <c r="Y15" s="16" t="s">
        <v>410</v>
      </c>
      <c r="Z15" s="16"/>
      <c r="AA15" s="11">
        <f>IFERROR(VLOOKUP($CI$2,清掃パート勤務形態一覧!$A$2:$BZ$200,12,FALSE),"")</f>
        <v>6</v>
      </c>
      <c r="AB15" s="16"/>
      <c r="AC15" s="16" t="s">
        <v>411</v>
      </c>
      <c r="AJ15" s="16"/>
      <c r="AK15" s="16"/>
      <c r="AM15" s="82">
        <f>BZ2</f>
        <v>46054</v>
      </c>
      <c r="AN15" s="82"/>
      <c r="AO15" s="82"/>
      <c r="AP15" s="82"/>
      <c r="AQ15" s="82"/>
      <c r="AR15" s="82"/>
      <c r="CL15" s="16"/>
      <c r="CM15" s="16"/>
      <c r="CN15" s="16"/>
    </row>
    <row r="16" spans="2:94" ht="19.8" customHeight="1">
      <c r="AM16" s="12"/>
    </row>
    <row r="17" spans="2:71" ht="19.8" customHeight="1">
      <c r="D17" s="11" t="s">
        <v>379</v>
      </c>
      <c r="AM17" s="61"/>
    </row>
    <row r="18" spans="2:71" ht="19.8" customHeight="1">
      <c r="D18" s="11" t="s">
        <v>559</v>
      </c>
      <c r="AN18" s="15" t="s">
        <v>397</v>
      </c>
      <c r="AR18" s="14" t="s">
        <v>394</v>
      </c>
    </row>
    <row r="19" spans="2:71" ht="19.8" customHeight="1">
      <c r="D19" s="11" t="s">
        <v>547</v>
      </c>
      <c r="AM19" s="12"/>
      <c r="AR19" s="62" t="s">
        <v>400</v>
      </c>
    </row>
    <row r="20" spans="2:71" ht="19.8" customHeight="1">
      <c r="AM20" s="12"/>
      <c r="AR20" s="63" t="s">
        <v>399</v>
      </c>
    </row>
    <row r="21" spans="2:71" ht="19.8" customHeight="1">
      <c r="B21" s="11" t="s">
        <v>380</v>
      </c>
      <c r="C21" s="11" t="s">
        <v>381</v>
      </c>
      <c r="K21" s="11" t="s">
        <v>388</v>
      </c>
      <c r="P21" s="78">
        <f>IFERROR(VLOOKUP($CI$2,清掃パート勤務形態一覧!$A$2:$BZ$200,34,FALSE),"")</f>
        <v>1225</v>
      </c>
      <c r="Q21" s="78"/>
      <c r="R21" s="78"/>
      <c r="S21" s="78"/>
      <c r="T21" s="78"/>
      <c r="U21" s="78"/>
      <c r="V21" s="11" t="s">
        <v>387</v>
      </c>
      <c r="AM21" s="12"/>
    </row>
    <row r="22" spans="2:71" ht="19.8" customHeight="1">
      <c r="C22" s="11" t="str">
        <f>IFERROR(VLOOKUP($CI$2,清掃パート勤務形態一覧!$A$2:$BZ$200,54,FALSE),"")</f>
        <v>尚、リーダー手当として　月</v>
      </c>
      <c r="P22" s="58"/>
      <c r="Q22" s="58"/>
      <c r="R22" s="78">
        <f>IFERROR(VLOOKUP($CI$2,清掃パート勤務形態一覧!$A$2:$BZ$200,38,FALSE),"")</f>
        <v>5000</v>
      </c>
      <c r="S22" s="78"/>
      <c r="T22" s="78"/>
      <c r="U22" s="78"/>
      <c r="V22" s="78"/>
      <c r="W22" s="78"/>
      <c r="X22" s="11" t="str">
        <f>IFERROR(VLOOKUP($CI$2,清掃パート勤務形態一覧!$A$2:$BZ$200,55,FALSE),"")</f>
        <v>を加算する。</v>
      </c>
      <c r="AM22" s="12"/>
    </row>
    <row r="23" spans="2:71" ht="19.8" customHeight="1">
      <c r="C23" s="11" t="s">
        <v>364</v>
      </c>
      <c r="AR23" s="67"/>
      <c r="AS23" s="67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7"/>
      <c r="BE23" s="67"/>
      <c r="BF23" s="67"/>
      <c r="BG23" s="67"/>
      <c r="BH23" s="67"/>
      <c r="BI23" s="67"/>
      <c r="BJ23" s="67"/>
      <c r="BK23" s="67"/>
      <c r="BL23" s="67"/>
      <c r="BM23" s="67"/>
      <c r="BN23" s="67"/>
      <c r="BO23" s="67"/>
      <c r="BP23" s="67"/>
      <c r="BQ23" s="67"/>
      <c r="BR23" s="67"/>
      <c r="BS23" s="67"/>
    </row>
    <row r="24" spans="2:71" ht="19.8" customHeight="1">
      <c r="AM24" s="13"/>
      <c r="AN24" s="15" t="s">
        <v>398</v>
      </c>
      <c r="AR24" s="77" t="str">
        <f>IFERROR(VLOOKUP($CI$2,清掃パート勤務形態一覧!$A$2:$BZ$200,46,FALSE),"")</f>
        <v>茅ヶ崎市赤松町</v>
      </c>
      <c r="AS24" s="77"/>
      <c r="AT24" s="77"/>
      <c r="AU24" s="77"/>
      <c r="AV24" s="77"/>
      <c r="AW24" s="77"/>
      <c r="AX24" s="77"/>
      <c r="AY24" s="77"/>
      <c r="AZ24" s="77"/>
      <c r="BA24" s="77"/>
      <c r="BB24" s="77"/>
      <c r="BC24" s="77"/>
      <c r="BD24" s="77"/>
      <c r="BE24" s="77"/>
      <c r="BF24" s="77"/>
      <c r="BG24" s="77"/>
      <c r="BH24" s="77"/>
      <c r="BI24" s="77"/>
      <c r="BJ24" s="77"/>
      <c r="BK24" s="77"/>
      <c r="BL24" s="77"/>
      <c r="BM24" s="77"/>
      <c r="BN24" s="77"/>
      <c r="BO24" s="77"/>
      <c r="BP24" s="77"/>
      <c r="BQ24" s="77"/>
      <c r="BR24" s="77"/>
      <c r="BS24" s="77"/>
    </row>
    <row r="25" spans="2:71" ht="19.8" customHeight="1">
      <c r="B25" s="11" t="s">
        <v>413</v>
      </c>
      <c r="C25" s="11" t="s">
        <v>382</v>
      </c>
      <c r="AR25" s="77" t="str">
        <f>IFERROR(VLOOKUP($CI$2,清掃パート勤務形態一覧!$A$2:$BZ$200,47,FALSE),"")</f>
        <v>市赤松町６丁目６２番ｱﾍﾞｰﾆｭ湘南２０１号</v>
      </c>
      <c r="AS25" s="77"/>
      <c r="AT25" s="77"/>
      <c r="AU25" s="77"/>
      <c r="AV25" s="77"/>
      <c r="AW25" s="77"/>
      <c r="AX25" s="77"/>
      <c r="AY25" s="77"/>
      <c r="AZ25" s="77"/>
      <c r="BA25" s="77"/>
      <c r="BB25" s="77"/>
      <c r="BC25" s="77"/>
      <c r="BD25" s="77"/>
      <c r="BE25" s="77"/>
      <c r="BF25" s="77"/>
      <c r="BG25" s="77"/>
      <c r="BH25" s="77"/>
      <c r="BI25" s="77"/>
      <c r="BJ25" s="77"/>
      <c r="BK25" s="77"/>
      <c r="BL25" s="77"/>
      <c r="BM25" s="77"/>
      <c r="BN25" s="77"/>
      <c r="BO25" s="77"/>
      <c r="BP25" s="77"/>
      <c r="BQ25" s="77"/>
      <c r="BR25" s="77"/>
      <c r="BS25" s="77"/>
    </row>
    <row r="26" spans="2:71" ht="19.8" customHeight="1">
      <c r="C26" s="11" t="s">
        <v>383</v>
      </c>
      <c r="AR26" s="77"/>
      <c r="AS26" s="77"/>
      <c r="AT26" s="77"/>
      <c r="AU26" s="77"/>
      <c r="AV26" s="77"/>
      <c r="AW26" s="77"/>
      <c r="AX26" s="77"/>
      <c r="AY26" s="77"/>
      <c r="AZ26" s="77"/>
      <c r="BA26" s="77"/>
      <c r="BB26" s="77"/>
      <c r="BC26" s="77"/>
      <c r="BD26" s="77"/>
      <c r="BE26" s="77"/>
      <c r="BF26" s="77"/>
      <c r="BG26" s="77"/>
      <c r="BH26" s="77"/>
      <c r="BI26" s="77"/>
      <c r="BJ26" s="77"/>
      <c r="BK26" s="77"/>
      <c r="BL26" s="77"/>
      <c r="BM26" s="77"/>
      <c r="BN26" s="77"/>
      <c r="BO26" s="77"/>
      <c r="BP26" s="77"/>
      <c r="BQ26" s="77"/>
      <c r="BR26" s="77"/>
      <c r="BS26" s="77"/>
    </row>
    <row r="27" spans="2:71" ht="19.8" customHeight="1">
      <c r="C27" s="11" t="s">
        <v>384</v>
      </c>
      <c r="AM27" s="12"/>
      <c r="AR27" s="77" t="str">
        <f>IFERROR(VLOOKUP($CI$2,清掃パート勤務形態一覧!$A$2:$BZ$200,4,FALSE),"")</f>
        <v>内尾　直美</v>
      </c>
      <c r="AS27" s="77"/>
      <c r="AT27" s="77"/>
      <c r="AU27" s="77"/>
      <c r="AV27" s="77"/>
      <c r="AW27" s="77"/>
      <c r="AX27" s="77"/>
      <c r="AY27" s="77"/>
      <c r="AZ27" s="77"/>
      <c r="BA27" s="77"/>
      <c r="BB27" s="77"/>
      <c r="BC27" s="77"/>
      <c r="BD27" s="77"/>
      <c r="BE27" s="77"/>
      <c r="BF27" s="77"/>
      <c r="BG27" s="77"/>
      <c r="BH27" s="77"/>
      <c r="BI27" s="77"/>
      <c r="BJ27" s="77"/>
      <c r="BK27" s="77"/>
      <c r="BL27" s="77"/>
      <c r="BM27" s="77"/>
      <c r="BN27" s="77"/>
      <c r="BO27" s="77"/>
      <c r="BP27" s="77"/>
      <c r="BQ27" s="77"/>
      <c r="BR27" s="77"/>
      <c r="BS27" s="77"/>
    </row>
    <row r="28" spans="2:71" ht="19.8" customHeight="1">
      <c r="B28" s="11" t="s">
        <v>365</v>
      </c>
      <c r="AM28" s="12"/>
      <c r="AR28" s="77"/>
      <c r="AS28" s="77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7"/>
      <c r="BE28" s="77"/>
      <c r="BF28" s="77"/>
      <c r="BG28" s="77"/>
      <c r="BH28" s="77"/>
      <c r="BI28" s="77"/>
      <c r="BJ28" s="77"/>
      <c r="BK28" s="77"/>
      <c r="BL28" s="77"/>
      <c r="BM28" s="77"/>
      <c r="BN28" s="77"/>
      <c r="BO28" s="77"/>
      <c r="BP28" s="77"/>
      <c r="BQ28" s="77"/>
      <c r="BR28" s="77"/>
      <c r="BS28" s="77"/>
    </row>
    <row r="29" spans="2:71" ht="19.8" customHeight="1">
      <c r="B29" s="11" t="s">
        <v>414</v>
      </c>
      <c r="C29" s="11" t="s">
        <v>386</v>
      </c>
    </row>
    <row r="30" spans="2:71" ht="19.8" customHeight="1">
      <c r="C30" s="11" t="s">
        <v>366</v>
      </c>
    </row>
    <row r="33" spans="2:19" ht="19.8" customHeight="1">
      <c r="B33" s="11" t="s">
        <v>385</v>
      </c>
      <c r="C33" s="11" t="s">
        <v>395</v>
      </c>
      <c r="I33" s="82">
        <f>BZ2</f>
        <v>46054</v>
      </c>
      <c r="J33" s="82"/>
      <c r="K33" s="82"/>
      <c r="L33" s="82"/>
      <c r="M33" s="82"/>
      <c r="N33" s="82"/>
      <c r="O33" s="82"/>
      <c r="P33" s="82"/>
      <c r="Q33" s="82"/>
      <c r="S33" s="11" t="s">
        <v>402</v>
      </c>
    </row>
    <row r="34" spans="2:19" ht="19.8" customHeight="1">
      <c r="C34" s="12" t="s">
        <v>401</v>
      </c>
    </row>
    <row r="35" spans="2:19" ht="19.8" customHeight="1">
      <c r="B35" s="12"/>
    </row>
    <row r="36" spans="2:19" ht="19.8" customHeight="1">
      <c r="B36" s="12"/>
    </row>
    <row r="37" spans="2:19" ht="19.8" customHeight="1">
      <c r="B37" s="12"/>
    </row>
    <row r="38" spans="2:19" ht="19.8" customHeight="1">
      <c r="B38" s="12"/>
    </row>
    <row r="39" spans="2:19" ht="19.8" customHeight="1">
      <c r="B39" s="12"/>
    </row>
    <row r="40" spans="2:19" ht="19.8" customHeight="1">
      <c r="C40" s="12"/>
    </row>
    <row r="41" spans="2:19" ht="19.8" customHeight="1">
      <c r="B41" s="12"/>
    </row>
    <row r="42" spans="2:19" ht="19.8" customHeight="1">
      <c r="B42" s="60"/>
    </row>
    <row r="43" spans="2:19" ht="19.8" customHeight="1">
      <c r="C43" s="12"/>
    </row>
    <row r="44" spans="2:19" ht="19.8" customHeight="1">
      <c r="C44" s="12"/>
    </row>
    <row r="45" spans="2:19" ht="19.8" customHeight="1">
      <c r="C45" s="12"/>
    </row>
    <row r="46" spans="2:19" ht="19.8" customHeight="1">
      <c r="C46" s="12"/>
    </row>
    <row r="47" spans="2:19" ht="19.8" customHeight="1">
      <c r="B47" s="12"/>
    </row>
    <row r="48" spans="2:19" ht="19.8" customHeight="1">
      <c r="B48" s="12"/>
    </row>
    <row r="49" spans="2:7" ht="19.8" customHeight="1">
      <c r="B49" s="12"/>
    </row>
    <row r="50" spans="2:7" ht="19.8" customHeight="1">
      <c r="B50" s="12"/>
    </row>
    <row r="51" spans="2:7" ht="19.8" customHeight="1">
      <c r="B51" s="12"/>
    </row>
    <row r="52" spans="2:7" ht="19.8" customHeight="1">
      <c r="B52" s="12"/>
    </row>
    <row r="53" spans="2:7" ht="19.8" customHeight="1">
      <c r="B53" s="73"/>
      <c r="C53" s="73"/>
      <c r="D53" s="73"/>
      <c r="E53" s="73"/>
      <c r="F53" s="73"/>
      <c r="G53" s="73"/>
    </row>
    <row r="54" spans="2:7" ht="19.8" customHeight="1">
      <c r="B54" s="12"/>
    </row>
    <row r="55" spans="2:7" ht="19.8" customHeight="1">
      <c r="B55" s="61"/>
    </row>
    <row r="56" spans="2:7" ht="19.8" customHeight="1">
      <c r="C56" s="15"/>
      <c r="G56" s="14"/>
    </row>
    <row r="57" spans="2:7" ht="25.2" customHeight="1">
      <c r="B57" s="12"/>
      <c r="G57" s="62"/>
    </row>
    <row r="58" spans="2:7" ht="25.2" customHeight="1">
      <c r="B58" s="12"/>
      <c r="G58" s="63"/>
    </row>
    <row r="59" spans="2:7" ht="19.8" customHeight="1">
      <c r="B59" s="12"/>
    </row>
    <row r="60" spans="2:7" ht="19.8" customHeight="1">
      <c r="B60" s="12"/>
    </row>
    <row r="61" spans="2:7" ht="19.8" customHeight="1">
      <c r="C61" s="15"/>
    </row>
    <row r="62" spans="2:7" ht="19.8" customHeight="1">
      <c r="B62" s="13"/>
    </row>
    <row r="63" spans="2:7" ht="19.8" customHeight="1">
      <c r="B63" s="12"/>
    </row>
    <row r="64" spans="2:7" ht="19.8" customHeight="1">
      <c r="B64" s="12"/>
    </row>
  </sheetData>
  <mergeCells count="5">
    <mergeCell ref="P21:U21"/>
    <mergeCell ref="BZ2:CG2"/>
    <mergeCell ref="I33:Q33"/>
    <mergeCell ref="R22:W22"/>
    <mergeCell ref="AM15:AR15"/>
  </mergeCells>
  <phoneticPr fontId="1"/>
  <pageMargins left="0.28999999999999998" right="0.16" top="0.61" bottom="0.36" header="0.3" footer="0.3"/>
  <pageSetup paperSize="9" scale="7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rintSheet">
                <anchor moveWithCells="1" sizeWithCells="1">
                  <from>
                    <xdr:col>77</xdr:col>
                    <xdr:colOff>38100</xdr:colOff>
                    <xdr:row>3</xdr:row>
                    <xdr:rowOff>144780</xdr:rowOff>
                  </from>
                  <to>
                    <xdr:col>84</xdr:col>
                    <xdr:colOff>76200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aveAsPDF">
                <anchor moveWithCells="1" sizeWithCells="1">
                  <from>
                    <xdr:col>77</xdr:col>
                    <xdr:colOff>30480</xdr:colOff>
                    <xdr:row>6</xdr:row>
                    <xdr:rowOff>220980</xdr:rowOff>
                  </from>
                  <to>
                    <xdr:col>85</xdr:col>
                    <xdr:colOff>83820</xdr:colOff>
                    <xdr:row>8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EFE67-D020-4AF6-8662-A4E92C84223C}">
  <sheetPr codeName="Sheet5">
    <tabColor theme="5" tint="0.59999389629810485"/>
    <pageSetUpPr fitToPage="1"/>
  </sheetPr>
  <dimension ref="B1:CP64"/>
  <sheetViews>
    <sheetView showZeros="0" view="pageBreakPreview" topLeftCell="BA1" zoomScale="73" zoomScaleNormal="100" zoomScaleSheetLayoutView="73" workbookViewId="0">
      <selection activeCell="CI3" sqref="CI3"/>
    </sheetView>
  </sheetViews>
  <sheetFormatPr defaultColWidth="2.09765625" defaultRowHeight="19.8" customHeight="1"/>
  <cols>
    <col min="1" max="1" width="2.59765625" style="11" customWidth="1"/>
    <col min="2" max="2" width="8.59765625" style="11" customWidth="1"/>
    <col min="3" max="3" width="2.3984375" style="11" customWidth="1"/>
    <col min="4" max="4" width="2.59765625" style="11" customWidth="1"/>
    <col min="5" max="7" width="2.09765625" style="11"/>
    <col min="8" max="8" width="2.59765625" style="11" customWidth="1"/>
    <col min="9" max="9" width="2.19921875" style="11" customWidth="1"/>
    <col min="10" max="15" width="2.09765625" style="11"/>
    <col min="16" max="16" width="2.19921875" style="11" customWidth="1"/>
    <col min="17" max="17" width="2.09765625" style="11"/>
    <col min="18" max="18" width="2.296875" style="11" customWidth="1"/>
    <col min="19" max="19" width="2.59765625" style="11" bestFit="1" customWidth="1"/>
    <col min="20" max="20" width="2.09765625" style="11"/>
    <col min="21" max="26" width="2.59765625" style="11" customWidth="1"/>
    <col min="27" max="27" width="2.5" style="11" customWidth="1"/>
    <col min="28" max="30" width="2.59765625" style="11" customWidth="1"/>
    <col min="31" max="31" width="3.296875" style="11" customWidth="1"/>
    <col min="32" max="34" width="2.59765625" style="11" customWidth="1"/>
    <col min="35" max="39" width="2.09765625" style="11"/>
    <col min="40" max="40" width="9.8984375" style="11" customWidth="1"/>
    <col min="41" max="16384" width="2.09765625" style="11"/>
  </cols>
  <sheetData>
    <row r="1" spans="2:94" ht="19.8" customHeight="1" thickBot="1">
      <c r="K1" s="14" t="s">
        <v>360</v>
      </c>
      <c r="AN1" s="11" t="s">
        <v>414</v>
      </c>
      <c r="AO1" s="11" t="s">
        <v>386</v>
      </c>
    </row>
    <row r="2" spans="2:94" ht="19.8" customHeight="1" thickBot="1">
      <c r="AO2" s="11" t="s">
        <v>366</v>
      </c>
      <c r="BZ2" s="79">
        <v>46054</v>
      </c>
      <c r="CA2" s="80"/>
      <c r="CB2" s="80"/>
      <c r="CC2" s="80"/>
      <c r="CD2" s="80"/>
      <c r="CE2" s="80"/>
      <c r="CF2" s="80"/>
      <c r="CG2" s="81"/>
      <c r="CI2" s="74" t="s">
        <v>419</v>
      </c>
      <c r="CJ2" s="75"/>
      <c r="CK2" s="75"/>
      <c r="CL2" s="75"/>
      <c r="CM2" s="75"/>
      <c r="CN2" s="75"/>
      <c r="CO2" s="75"/>
      <c r="CP2" s="76"/>
    </row>
    <row r="4" spans="2:94" ht="19.8" customHeight="1">
      <c r="B4" s="11" t="s">
        <v>396</v>
      </c>
      <c r="P4" s="11" t="str">
        <f>IFERROR(VLOOKUP($CI$2,清掃パート勤務形態一覧!$A$2:$BZ$200,4,FALSE),"")</f>
        <v>田中　利恵子</v>
      </c>
      <c r="W4" s="11" t="s">
        <v>371</v>
      </c>
      <c r="AN4" s="11" t="s">
        <v>385</v>
      </c>
      <c r="AO4" s="11" t="s">
        <v>395</v>
      </c>
      <c r="AU4" s="82">
        <f>BZ2</f>
        <v>46054</v>
      </c>
      <c r="AV4" s="82"/>
      <c r="AW4" s="82"/>
      <c r="AX4" s="82"/>
      <c r="AY4" s="82"/>
      <c r="AZ4" s="82"/>
      <c r="BA4" s="82"/>
      <c r="BB4" s="82"/>
      <c r="BC4" s="82"/>
      <c r="BD4" s="82"/>
      <c r="BE4" s="11" t="s">
        <v>402</v>
      </c>
    </row>
    <row r="5" spans="2:94" ht="19.8" customHeight="1">
      <c r="B5" s="11" t="s">
        <v>361</v>
      </c>
      <c r="AO5" s="12" t="s">
        <v>401</v>
      </c>
    </row>
    <row r="6" spans="2:94" ht="19.8" customHeight="1">
      <c r="AN6" s="12"/>
    </row>
    <row r="7" spans="2:94" ht="19.8" customHeight="1">
      <c r="B7" s="11" t="s">
        <v>372</v>
      </c>
      <c r="C7" s="11" t="s">
        <v>373</v>
      </c>
      <c r="AN7" s="12" t="s">
        <v>389</v>
      </c>
      <c r="AO7" s="11" t="s">
        <v>390</v>
      </c>
    </row>
    <row r="8" spans="2:94" ht="19.8" customHeight="1">
      <c r="C8" s="11" t="s">
        <v>362</v>
      </c>
      <c r="AO8" s="12" t="s">
        <v>367</v>
      </c>
    </row>
    <row r="9" spans="2:94" ht="19.8" customHeight="1">
      <c r="AN9" s="12"/>
    </row>
    <row r="10" spans="2:94" ht="19.8" customHeight="1">
      <c r="C10" s="11" t="s">
        <v>403</v>
      </c>
      <c r="H10" s="55" t="s">
        <v>423</v>
      </c>
      <c r="I10" s="83" t="str">
        <f>IFERROR(VLOOKUP($CI$2,清掃パート勤務形態一覧!$A$2:$BZ$200,5,FALSE),"")</f>
        <v>サクラス戸塚</v>
      </c>
      <c r="J10" s="83"/>
      <c r="K10" s="83"/>
      <c r="L10" s="83"/>
      <c r="M10" s="83"/>
      <c r="N10" s="83"/>
      <c r="O10" s="83"/>
      <c r="P10" s="83"/>
      <c r="Q10" s="83"/>
      <c r="R10" s="55" t="s">
        <v>404</v>
      </c>
      <c r="S10" s="83" t="str">
        <f>IFERROR(VLOOKUP($CI$2,清掃パート勤務形態一覧!$A$2:$BZ$200,6,FALSE),"")</f>
        <v>サクラス戸塚</v>
      </c>
      <c r="T10" s="83"/>
      <c r="U10" s="83"/>
      <c r="V10" s="83"/>
      <c r="W10" s="83"/>
      <c r="X10" s="83"/>
      <c r="Y10" s="83"/>
      <c r="Z10" s="83"/>
      <c r="AA10" s="55" t="s">
        <v>405</v>
      </c>
      <c r="AB10" s="83" t="str">
        <f>IFERROR(VLOOKUP($CI$2,清掃パート勤務形態一覧!$A$2:$BZ$200,7,FALSE),"")</f>
        <v>東横本社ビル</v>
      </c>
      <c r="AC10" s="83"/>
      <c r="AD10" s="83"/>
      <c r="AE10" s="83"/>
      <c r="AF10" s="83"/>
      <c r="AG10" s="83"/>
      <c r="AH10" s="83"/>
      <c r="AN10" s="60"/>
      <c r="AO10" s="11" t="s">
        <v>368</v>
      </c>
    </row>
    <row r="11" spans="2:94" ht="19.8" customHeight="1">
      <c r="H11" s="55" t="s">
        <v>406</v>
      </c>
      <c r="I11" s="83" t="str">
        <f>IFERROR(VLOOKUP($CI$2,清掃パート勤務形態一覧!$A$2:$BZ$200,8,FALSE),"")</f>
        <v>春芳茶園</v>
      </c>
      <c r="J11" s="83"/>
      <c r="K11" s="83"/>
      <c r="L11" s="83"/>
      <c r="M11" s="83"/>
      <c r="N11" s="83"/>
      <c r="O11" s="83"/>
      <c r="P11" s="83"/>
      <c r="Q11" s="83"/>
      <c r="R11" s="55" t="s">
        <v>407</v>
      </c>
      <c r="S11" s="83">
        <f>IFERROR(VLOOKUP($CI$2,清掃パート勤務形態一覧!$A$2:$BZ$200,9,FALSE),"")</f>
        <v>0</v>
      </c>
      <c r="T11" s="83"/>
      <c r="U11" s="83"/>
      <c r="V11" s="83"/>
      <c r="W11" s="83"/>
      <c r="X11" s="83"/>
      <c r="Y11" s="83"/>
      <c r="Z11" s="83"/>
      <c r="AA11" s="55" t="s">
        <v>408</v>
      </c>
      <c r="AB11" s="83">
        <f>IFERROR(VLOOKUP($CI$2,清掃パート勤務形態一覧!$A$2:$BZ$200,10,FALSE),"")</f>
        <v>0</v>
      </c>
      <c r="AC11" s="83"/>
      <c r="AD11" s="83"/>
      <c r="AE11" s="83"/>
      <c r="AF11" s="83"/>
      <c r="AG11" s="83"/>
      <c r="AH11" s="83"/>
      <c r="AO11" s="12" t="s">
        <v>391</v>
      </c>
    </row>
    <row r="12" spans="2:94" ht="19.8" customHeight="1">
      <c r="H12" s="11" t="s">
        <v>556</v>
      </c>
      <c r="AO12" s="12" t="s">
        <v>392</v>
      </c>
    </row>
    <row r="13" spans="2:94" ht="19.8" customHeight="1">
      <c r="C13" s="11" t="s">
        <v>375</v>
      </c>
      <c r="I13" s="11" t="s">
        <v>374</v>
      </c>
      <c r="AO13" s="12" t="s">
        <v>393</v>
      </c>
    </row>
    <row r="14" spans="2:94" ht="19.8" customHeight="1">
      <c r="B14" s="11" t="s">
        <v>363</v>
      </c>
      <c r="H14" s="11" t="s">
        <v>557</v>
      </c>
      <c r="AN14" s="12"/>
    </row>
    <row r="15" spans="2:94" ht="19.8" customHeight="1">
      <c r="AN15" s="12" t="s">
        <v>558</v>
      </c>
    </row>
    <row r="16" spans="2:94" ht="19.8" customHeight="1">
      <c r="B16" s="11" t="s">
        <v>376</v>
      </c>
      <c r="C16" s="11" t="s">
        <v>562</v>
      </c>
      <c r="W16" s="56" t="s">
        <v>412</v>
      </c>
      <c r="X16" s="16"/>
      <c r="Y16" s="16" t="s">
        <v>410</v>
      </c>
      <c r="Z16" s="16"/>
      <c r="AA16" s="11">
        <f>IFERROR(VLOOKUP($CI$2,清掃パート勤務形態一覧!$A$2:$BZ$200,12,FALSE),"")</f>
        <v>5</v>
      </c>
      <c r="AB16" s="16" t="s">
        <v>411</v>
      </c>
      <c r="AN16" s="12" t="s">
        <v>563</v>
      </c>
    </row>
    <row r="17" spans="2:72" ht="19.8" customHeight="1">
      <c r="F17" s="11" t="s">
        <v>377</v>
      </c>
      <c r="I17" s="11" t="str">
        <f>IFERROR(VLOOKUP($CI$2,清掃パート勤務形態一覧!$A$2:$BZ$200,20,FALSE),"")</f>
        <v>7:00～16:00</v>
      </c>
      <c r="J17" s="57"/>
      <c r="K17" s="57"/>
      <c r="L17" s="57"/>
      <c r="M17" s="57"/>
      <c r="N17" s="57"/>
      <c r="O17" s="57"/>
      <c r="P17" s="57"/>
      <c r="T17" s="16" t="s">
        <v>410</v>
      </c>
      <c r="V17" s="84">
        <f>IFERROR(VLOOKUP($CI$2,清掃パート勤務形態一覧!$A$2:$BZ$200,13,FALSE),"")</f>
        <v>3</v>
      </c>
      <c r="W17" s="84"/>
      <c r="X17" s="16" t="s">
        <v>411</v>
      </c>
      <c r="AC17" s="16"/>
      <c r="AD17" s="56"/>
      <c r="AI17" s="16"/>
      <c r="AJ17" s="16"/>
      <c r="AK17" s="16"/>
      <c r="AL17" s="16"/>
      <c r="AN17" s="12"/>
    </row>
    <row r="18" spans="2:72" ht="19.8" customHeight="1">
      <c r="F18" s="11" t="s">
        <v>404</v>
      </c>
      <c r="I18" s="11" t="str">
        <f>IFERROR(VLOOKUP($CI$2,清掃パート勤務形態一覧!$A$2:$BZ$200,21,FALSE),"")</f>
        <v>7:00～14:00</v>
      </c>
      <c r="J18" s="57"/>
      <c r="K18" s="57"/>
      <c r="L18" s="57"/>
      <c r="M18" s="57"/>
      <c r="N18" s="57"/>
      <c r="O18" s="57"/>
      <c r="P18" s="57"/>
      <c r="T18" s="16" t="s">
        <v>410</v>
      </c>
      <c r="V18" s="85">
        <f>IFERROR(VLOOKUP($CI$2,清掃パート勤務形態一覧!$A$2:$BZ$200,14,FALSE),"")</f>
        <v>2</v>
      </c>
      <c r="W18" s="85"/>
      <c r="X18" s="16" t="s">
        <v>411</v>
      </c>
      <c r="AC18" s="16"/>
      <c r="AD18" s="56"/>
      <c r="AI18" s="16"/>
      <c r="AJ18" s="16"/>
      <c r="AK18" s="16"/>
      <c r="AL18" s="16"/>
      <c r="AN18" s="12" t="s">
        <v>369</v>
      </c>
    </row>
    <row r="19" spans="2:72" ht="19.8" customHeight="1">
      <c r="F19" s="11" t="s">
        <v>405</v>
      </c>
      <c r="I19" s="11" t="str">
        <f>IFERROR(VLOOKUP($CI$2,清掃パート勤務形態一覧!$A$2:$BZ$200,22,FALSE),"")</f>
        <v>8:00～9:00</v>
      </c>
      <c r="K19" s="57"/>
      <c r="L19" s="57"/>
      <c r="M19" s="57"/>
      <c r="N19" s="57"/>
      <c r="O19" s="57"/>
      <c r="P19" s="57"/>
      <c r="T19" s="16" t="s">
        <v>410</v>
      </c>
      <c r="V19" s="84">
        <f>IFERROR(VLOOKUP($CI$2,清掃パート勤務形態一覧!$A$2:$BZ$200,15,FALSE),"")</f>
        <v>3</v>
      </c>
      <c r="W19" s="84"/>
      <c r="X19" s="16" t="s">
        <v>411</v>
      </c>
      <c r="AC19" s="16"/>
      <c r="AD19" s="56"/>
      <c r="AI19" s="16"/>
      <c r="AJ19" s="16"/>
      <c r="AK19" s="16"/>
      <c r="AL19" s="16"/>
      <c r="AN19" s="12" t="s">
        <v>370</v>
      </c>
    </row>
    <row r="20" spans="2:72" ht="19.8" customHeight="1">
      <c r="F20" s="11" t="s">
        <v>406</v>
      </c>
      <c r="I20" s="11" t="str">
        <f>IFERROR(VLOOKUP($CI$2,清掃パート勤務形態一覧!$A$2:$BZ$200,23,FALSE),"")</f>
        <v>14:00～15:00</v>
      </c>
      <c r="J20" s="57"/>
      <c r="K20" s="57"/>
      <c r="L20" s="57"/>
      <c r="M20" s="57"/>
      <c r="N20" s="57"/>
      <c r="O20" s="57"/>
      <c r="P20" s="57"/>
      <c r="T20" s="16" t="s">
        <v>410</v>
      </c>
      <c r="V20" s="85" t="str">
        <f>IFERROR(VLOOKUP($CI$2,清掃パート勤務形態一覧!$A$2:$BZ$200,16,FALSE),"")</f>
        <v>隔週1</v>
      </c>
      <c r="W20" s="85"/>
      <c r="X20" s="16" t="s">
        <v>411</v>
      </c>
      <c r="AC20" s="16"/>
      <c r="AD20" s="56"/>
      <c r="AI20" s="16"/>
      <c r="AJ20" s="16"/>
      <c r="AK20" s="16"/>
      <c r="AL20" s="16"/>
      <c r="AN20" s="12"/>
    </row>
    <row r="21" spans="2:72" ht="19.8" customHeight="1">
      <c r="F21" s="11" t="s">
        <v>407</v>
      </c>
      <c r="I21" s="11">
        <f>IFERROR(VLOOKUP($CI$2,清掃パート勤務形態一覧!$A$2:$BZ$200,24,FALSE),"")</f>
        <v>0</v>
      </c>
      <c r="J21" s="57"/>
      <c r="K21" s="57"/>
      <c r="L21" s="57"/>
      <c r="M21" s="57"/>
      <c r="N21" s="57"/>
      <c r="O21" s="57"/>
      <c r="P21" s="57"/>
      <c r="T21" s="16" t="s">
        <v>410</v>
      </c>
      <c r="V21" s="84">
        <f>IFERROR(VLOOKUP($CI$2,清掃パート勤務形態一覧!$A$2:$BZ$200,17,FALSE),"")</f>
        <v>0</v>
      </c>
      <c r="W21" s="84"/>
      <c r="X21" s="16" t="s">
        <v>411</v>
      </c>
      <c r="AC21" s="16"/>
      <c r="AD21" s="56"/>
      <c r="AI21" s="16"/>
      <c r="AJ21" s="16"/>
      <c r="AK21" s="16"/>
      <c r="AL21" s="16"/>
      <c r="AN21" s="82">
        <f>BZ2</f>
        <v>46054</v>
      </c>
      <c r="AO21" s="82"/>
      <c r="AP21" s="82"/>
      <c r="AQ21" s="82"/>
      <c r="AR21" s="82"/>
      <c r="AS21" s="82"/>
    </row>
    <row r="22" spans="2:72" ht="19.8" customHeight="1">
      <c r="F22" s="11" t="s">
        <v>408</v>
      </c>
      <c r="I22" s="11">
        <f>IFERROR(VLOOKUP($CI$2,清掃パート勤務形態一覧!$A$2:$BZ$200,25,FALSE),"")</f>
        <v>0</v>
      </c>
      <c r="J22" s="57"/>
      <c r="K22" s="57"/>
      <c r="L22" s="57"/>
      <c r="M22" s="57"/>
      <c r="N22" s="57"/>
      <c r="O22" s="57"/>
      <c r="P22" s="57"/>
      <c r="T22" s="16" t="s">
        <v>410</v>
      </c>
      <c r="V22" s="84">
        <f>IFERROR(VLOOKUP($CI$2,清掃パート勤務形態一覧!$A$2:$BZ$200,18,FALSE),"")</f>
        <v>0</v>
      </c>
      <c r="W22" s="84"/>
      <c r="X22" s="16" t="s">
        <v>411</v>
      </c>
      <c r="AC22" s="16"/>
      <c r="AD22" s="56"/>
      <c r="AI22" s="16"/>
      <c r="AJ22" s="16"/>
      <c r="AK22" s="16"/>
      <c r="AL22" s="16"/>
      <c r="AN22" s="12"/>
    </row>
    <row r="23" spans="2:72" ht="19.8" customHeight="1">
      <c r="I23" s="11">
        <f>IFERROR(VLOOKUP($CI$2,清掃パート勤務形態一覧!$A$2:$BZ$200,26,FALSE),"")</f>
        <v>0</v>
      </c>
      <c r="J23" s="57"/>
      <c r="K23" s="57"/>
      <c r="L23" s="57"/>
      <c r="M23" s="57"/>
      <c r="N23" s="57"/>
      <c r="O23" s="57"/>
      <c r="P23" s="57"/>
      <c r="T23" s="16"/>
      <c r="V23" s="84">
        <f>IFERROR(VLOOKUP($CI$2,清掃パート勤務形態一覧!$A$2:$BZ$200,19,FALSE),"")</f>
        <v>0</v>
      </c>
      <c r="W23" s="84"/>
      <c r="X23" s="16"/>
      <c r="AC23" s="16"/>
      <c r="AD23" s="56"/>
      <c r="AI23" s="16"/>
      <c r="AJ23" s="16"/>
      <c r="AK23" s="16"/>
      <c r="AL23" s="16"/>
      <c r="AN23" s="61"/>
    </row>
    <row r="24" spans="2:72" ht="19.8" customHeight="1">
      <c r="AO24" s="15" t="s">
        <v>397</v>
      </c>
      <c r="AS24" s="14" t="s">
        <v>394</v>
      </c>
    </row>
    <row r="25" spans="2:72" ht="19.8" customHeight="1">
      <c r="D25" s="11" t="s">
        <v>379</v>
      </c>
      <c r="AN25" s="12"/>
      <c r="AS25" s="62" t="s">
        <v>400</v>
      </c>
    </row>
    <row r="26" spans="2:72" ht="19.8" customHeight="1">
      <c r="D26" s="11" t="s">
        <v>559</v>
      </c>
      <c r="AN26" s="12"/>
      <c r="AS26" s="63" t="s">
        <v>399</v>
      </c>
    </row>
    <row r="27" spans="2:72" ht="19.8" customHeight="1">
      <c r="D27" s="11" t="s">
        <v>547</v>
      </c>
      <c r="AN27" s="12"/>
    </row>
    <row r="28" spans="2:72" ht="19.8" customHeight="1">
      <c r="AN28" s="12"/>
    </row>
    <row r="29" spans="2:72" ht="19.8" customHeight="1">
      <c r="B29" s="11" t="s">
        <v>380</v>
      </c>
      <c r="C29" s="11" t="s">
        <v>381</v>
      </c>
      <c r="K29" s="11" t="s">
        <v>388</v>
      </c>
      <c r="P29" s="78">
        <f>IFERROR(VLOOKUP($CI$2,清掃パート勤務形態一覧!$A$2:$BZ$200,34,FALSE),"")</f>
        <v>1225</v>
      </c>
      <c r="Q29" s="78"/>
      <c r="R29" s="78"/>
      <c r="S29" s="78"/>
      <c r="T29" s="78"/>
      <c r="U29" s="78"/>
      <c r="V29" s="11" t="s">
        <v>387</v>
      </c>
      <c r="AO29" s="15" t="s">
        <v>398</v>
      </c>
      <c r="AS29" s="67" t="str">
        <f>IFERROR(VLOOKUP($CI$2,清掃パート勤務形態一覧!$A$2:$BZ$200,46,FALSE),"")</f>
        <v>横浜市泉区</v>
      </c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7"/>
      <c r="BE29" s="67"/>
      <c r="BF29" s="67"/>
      <c r="BG29" s="67"/>
      <c r="BH29" s="67"/>
      <c r="BI29" s="67"/>
      <c r="BJ29" s="67"/>
      <c r="BK29" s="67"/>
      <c r="BL29" s="67"/>
      <c r="BM29" s="67"/>
      <c r="BN29" s="67"/>
      <c r="BO29" s="67"/>
      <c r="BP29" s="67"/>
      <c r="BQ29" s="67"/>
      <c r="BR29" s="67"/>
      <c r="BS29" s="67"/>
      <c r="BT29" s="67"/>
    </row>
    <row r="30" spans="2:72" ht="19.8" customHeight="1">
      <c r="P30" s="78">
        <f>IFERROR(VLOOKUP($CI$2,清掃パート勤務形態一覧!$A$2:$BZ$200,35,FALSE),"")</f>
        <v>0</v>
      </c>
      <c r="Q30" s="78"/>
      <c r="R30" s="78"/>
      <c r="S30" s="78"/>
      <c r="T30" s="78"/>
      <c r="U30" s="78"/>
      <c r="AN30" s="13"/>
      <c r="AS30" s="67" t="str">
        <f>IFERROR(VLOOKUP($CI$2,清掃パート勤務形態一覧!$A$2:$BZ$200,47,FALSE),"")</f>
        <v>中田西一丁目６番２８－１０２号</v>
      </c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7"/>
      <c r="BE30" s="67"/>
      <c r="BF30" s="67"/>
      <c r="BG30" s="67"/>
      <c r="BH30" s="67"/>
      <c r="BI30" s="67"/>
      <c r="BJ30" s="67"/>
      <c r="BK30" s="67"/>
      <c r="BL30" s="67"/>
      <c r="BM30" s="67"/>
      <c r="BN30" s="67"/>
      <c r="BO30" s="67"/>
      <c r="BP30" s="67"/>
      <c r="BQ30" s="67"/>
      <c r="BR30" s="67"/>
      <c r="BS30" s="67"/>
      <c r="BT30" s="67"/>
    </row>
    <row r="31" spans="2:72" ht="19.8" customHeight="1">
      <c r="C31" s="11">
        <f>IFERROR(VLOOKUP($CI$2,清掃パート勤務形態一覧!$A$2:$BZ$200,54,FALSE),"")</f>
        <v>0</v>
      </c>
      <c r="P31" s="78">
        <f>IFERROR(VLOOKUP($CI$2,清掃パート勤務形態一覧!$A$2:$BZ$200,38,FALSE),"")</f>
        <v>0</v>
      </c>
      <c r="Q31" s="78"/>
      <c r="R31" s="78"/>
      <c r="S31" s="78"/>
      <c r="T31" s="78"/>
      <c r="U31" s="78"/>
      <c r="V31" s="11">
        <f>IFERROR(VLOOKUP($CI$2,清掃パート勤務形態一覧!$A$2:$BZ$200,55,FALSE),"")</f>
        <v>0</v>
      </c>
      <c r="AN31" s="12"/>
      <c r="AS31" s="67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7"/>
      <c r="BE31" s="67"/>
      <c r="BF31" s="67"/>
      <c r="BG31" s="67"/>
      <c r="BH31" s="67"/>
      <c r="BI31" s="67"/>
      <c r="BJ31" s="67"/>
      <c r="BK31" s="67"/>
      <c r="BL31" s="67"/>
      <c r="BM31" s="67"/>
      <c r="BN31" s="67"/>
      <c r="BO31" s="67"/>
      <c r="BP31" s="67"/>
      <c r="BQ31" s="67"/>
      <c r="BR31" s="67"/>
      <c r="BS31" s="67"/>
      <c r="BT31" s="67"/>
    </row>
    <row r="32" spans="2:72" ht="19.8" customHeight="1">
      <c r="C32" s="11" t="s">
        <v>364</v>
      </c>
      <c r="AN32" s="12"/>
      <c r="AS32" s="67" t="str">
        <f>IFERROR(VLOOKUP($CI$2,清掃パート勤務形態一覧!$A$2:$BZ$200,4,FALSE),"")</f>
        <v>田中　利恵子</v>
      </c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7"/>
      <c r="BE32" s="67"/>
      <c r="BF32" s="67"/>
      <c r="BG32" s="67"/>
      <c r="BH32" s="67"/>
      <c r="BI32" s="67"/>
      <c r="BJ32" s="67"/>
      <c r="BK32" s="67"/>
      <c r="BL32" s="67"/>
      <c r="BM32" s="67"/>
      <c r="BN32" s="67"/>
      <c r="BO32" s="67"/>
      <c r="BP32" s="67"/>
      <c r="BQ32" s="67"/>
      <c r="BR32" s="67"/>
      <c r="BS32" s="67"/>
      <c r="BT32" s="67"/>
    </row>
    <row r="33" spans="2:72" ht="19.8" customHeight="1">
      <c r="AS33" s="67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7"/>
      <c r="BE33" s="67"/>
      <c r="BF33" s="67"/>
      <c r="BG33" s="67"/>
      <c r="BH33" s="67"/>
      <c r="BI33" s="67"/>
      <c r="BJ33" s="67"/>
      <c r="BK33" s="67"/>
      <c r="BL33" s="67"/>
      <c r="BM33" s="67"/>
      <c r="BN33" s="67"/>
      <c r="BO33" s="67"/>
      <c r="BP33" s="67"/>
      <c r="BQ33" s="67"/>
      <c r="BR33" s="67"/>
      <c r="BS33" s="67"/>
      <c r="BT33" s="67"/>
    </row>
    <row r="34" spans="2:72" ht="19.8" customHeight="1">
      <c r="B34" s="11" t="s">
        <v>413</v>
      </c>
      <c r="C34" s="11" t="s">
        <v>382</v>
      </c>
    </row>
    <row r="35" spans="2:72" ht="19.8" customHeight="1">
      <c r="C35" s="11" t="s">
        <v>383</v>
      </c>
    </row>
    <row r="36" spans="2:72" ht="19.8" customHeight="1">
      <c r="C36" s="11" t="s">
        <v>384</v>
      </c>
    </row>
    <row r="63" ht="25.2" customHeight="1"/>
    <row r="64" ht="25.2" customHeight="1"/>
  </sheetData>
  <mergeCells count="19">
    <mergeCell ref="BZ2:CG2"/>
    <mergeCell ref="S10:Z10"/>
    <mergeCell ref="V20:W20"/>
    <mergeCell ref="V17:W17"/>
    <mergeCell ref="AB10:AH10"/>
    <mergeCell ref="AB11:AH11"/>
    <mergeCell ref="I10:Q10"/>
    <mergeCell ref="AU4:BD4"/>
    <mergeCell ref="AN21:AS21"/>
    <mergeCell ref="P29:U29"/>
    <mergeCell ref="P30:U30"/>
    <mergeCell ref="P31:U31"/>
    <mergeCell ref="S11:Z11"/>
    <mergeCell ref="I11:Q11"/>
    <mergeCell ref="V22:W22"/>
    <mergeCell ref="V21:W21"/>
    <mergeCell ref="V19:W19"/>
    <mergeCell ref="V18:W18"/>
    <mergeCell ref="V23:W23"/>
  </mergeCells>
  <phoneticPr fontId="1"/>
  <pageMargins left="0.33" right="0.16" top="0.38" bottom="0.36" header="0.3" footer="0.3"/>
  <pageSetup paperSize="9" scale="7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rintSheet">
                <anchor moveWithCells="1" sizeWithCells="1">
                  <from>
                    <xdr:col>77</xdr:col>
                    <xdr:colOff>53340</xdr:colOff>
                    <xdr:row>3</xdr:row>
                    <xdr:rowOff>213360</xdr:rowOff>
                  </from>
                  <to>
                    <xdr:col>84</xdr:col>
                    <xdr:colOff>91440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AsPDF">
                <anchor moveWithCells="1" sizeWithCells="1">
                  <from>
                    <xdr:col>77</xdr:col>
                    <xdr:colOff>68580</xdr:colOff>
                    <xdr:row>6</xdr:row>
                    <xdr:rowOff>198120</xdr:rowOff>
                  </from>
                  <to>
                    <xdr:col>85</xdr:col>
                    <xdr:colOff>121920</xdr:colOff>
                    <xdr:row>8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B8846-351A-4B9C-A04E-A2DBB4C2E9A1}">
  <sheetPr codeName="Sheet9">
    <tabColor theme="9" tint="0.59999389629810485"/>
    <pageSetUpPr fitToPage="1"/>
  </sheetPr>
  <dimension ref="B1:CP59"/>
  <sheetViews>
    <sheetView showZeros="0" view="pageBreakPreview" topLeftCell="AF1" zoomScale="75" zoomScaleNormal="86" zoomScaleSheetLayoutView="75" workbookViewId="0">
      <selection activeCell="CI3" sqref="CI3"/>
    </sheetView>
  </sheetViews>
  <sheetFormatPr defaultColWidth="2.09765625" defaultRowHeight="19.8" customHeight="1"/>
  <cols>
    <col min="1" max="1" width="2.59765625" style="11" customWidth="1"/>
    <col min="2" max="2" width="8.59765625" style="11" customWidth="1"/>
    <col min="3" max="3" width="1.796875" style="11" customWidth="1"/>
    <col min="4" max="4" width="1.8984375" style="11" customWidth="1"/>
    <col min="5" max="8" width="2.09765625" style="11"/>
    <col min="9" max="9" width="2.19921875" style="11" customWidth="1"/>
    <col min="10" max="13" width="2.09765625" style="11"/>
    <col min="14" max="14" width="2.8984375" style="11" customWidth="1"/>
    <col min="15" max="15" width="2.09765625" style="11"/>
    <col min="16" max="16" width="2.5" style="11" customWidth="1"/>
    <col min="17" max="18" width="2.09765625" style="11"/>
    <col min="19" max="19" width="2.09765625" style="11" customWidth="1"/>
    <col min="20" max="22" width="2.296875" style="11" customWidth="1"/>
    <col min="23" max="34" width="2.59765625" style="11" customWidth="1"/>
    <col min="35" max="35" width="2.09765625" style="11" customWidth="1"/>
    <col min="36" max="38" width="2.09765625" style="11"/>
    <col min="39" max="39" width="2" style="11" customWidth="1"/>
    <col min="40" max="40" width="10.796875" style="11" customWidth="1"/>
    <col min="41" max="16384" width="2.09765625" style="11"/>
  </cols>
  <sheetData>
    <row r="1" spans="2:94" ht="19.8" customHeight="1" thickBot="1">
      <c r="K1" s="14" t="s">
        <v>360</v>
      </c>
      <c r="AN1" s="12" t="s">
        <v>389</v>
      </c>
      <c r="AO1" s="11" t="s">
        <v>390</v>
      </c>
    </row>
    <row r="2" spans="2:94" ht="19.8" customHeight="1" thickBot="1">
      <c r="AO2" s="12" t="s">
        <v>367</v>
      </c>
      <c r="BZ2" s="79">
        <v>46054</v>
      </c>
      <c r="CA2" s="80"/>
      <c r="CB2" s="80"/>
      <c r="CC2" s="80"/>
      <c r="CD2" s="80"/>
      <c r="CE2" s="80"/>
      <c r="CF2" s="80"/>
      <c r="CG2" s="81"/>
      <c r="CI2" s="74" t="s">
        <v>564</v>
      </c>
      <c r="CJ2" s="75"/>
      <c r="CK2" s="75"/>
      <c r="CL2" s="75"/>
      <c r="CM2" s="75"/>
      <c r="CN2" s="75"/>
      <c r="CO2" s="75"/>
      <c r="CP2" s="76"/>
    </row>
    <row r="3" spans="2:94" ht="19.8" customHeight="1">
      <c r="AN3" s="12"/>
    </row>
    <row r="4" spans="2:94" ht="19.8" customHeight="1">
      <c r="B4" s="11" t="s">
        <v>396</v>
      </c>
      <c r="P4" s="11" t="str">
        <f>IFERROR(VLOOKUP($CI$2,清掃パート勤務形態一覧!$A$2:$BZ$200,4,FALSE),"")</f>
        <v>福田　愛</v>
      </c>
      <c r="W4" s="11" t="s">
        <v>371</v>
      </c>
      <c r="AN4" s="60"/>
      <c r="AO4" s="11" t="s">
        <v>368</v>
      </c>
    </row>
    <row r="5" spans="2:94" ht="19.8" customHeight="1">
      <c r="B5" s="11" t="s">
        <v>361</v>
      </c>
      <c r="AO5" s="12" t="s">
        <v>391</v>
      </c>
    </row>
    <row r="6" spans="2:94" ht="19.8" customHeight="1">
      <c r="AO6" s="12" t="s">
        <v>392</v>
      </c>
    </row>
    <row r="7" spans="2:94" ht="19.8" customHeight="1">
      <c r="B7" s="11" t="s">
        <v>372</v>
      </c>
      <c r="C7" s="11" t="s">
        <v>373</v>
      </c>
      <c r="AO7" s="12" t="s">
        <v>393</v>
      </c>
    </row>
    <row r="8" spans="2:94" ht="19.8" customHeight="1">
      <c r="C8" s="11" t="s">
        <v>362</v>
      </c>
      <c r="AN8" s="12"/>
    </row>
    <row r="9" spans="2:94" ht="19.8" customHeight="1">
      <c r="AN9" s="12" t="s">
        <v>558</v>
      </c>
    </row>
    <row r="10" spans="2:94" ht="19.8" customHeight="1">
      <c r="C10" s="11" t="s">
        <v>403</v>
      </c>
      <c r="I10" s="11" t="str">
        <f>IFERROR(VLOOKUP($CI$2,清掃パート勤務形態一覧!$A$2:$BZ$200,5,FALSE),"")</f>
        <v>東横フェスタ2</v>
      </c>
      <c r="AN10" s="12" t="s">
        <v>563</v>
      </c>
    </row>
    <row r="11" spans="2:94" ht="19.8" customHeight="1">
      <c r="I11" s="11" t="s">
        <v>556</v>
      </c>
      <c r="AN11" s="12"/>
    </row>
    <row r="12" spans="2:94" ht="19.8" customHeight="1">
      <c r="C12" s="11" t="s">
        <v>375</v>
      </c>
      <c r="I12" s="11" t="s">
        <v>441</v>
      </c>
      <c r="AN12" s="12" t="s">
        <v>369</v>
      </c>
    </row>
    <row r="13" spans="2:94" ht="19.8" customHeight="1">
      <c r="B13" s="11" t="s">
        <v>363</v>
      </c>
      <c r="I13" s="11" t="s">
        <v>557</v>
      </c>
      <c r="AN13" s="12" t="s">
        <v>370</v>
      </c>
    </row>
    <row r="14" spans="2:94" ht="19.8" customHeight="1">
      <c r="AN14" s="12"/>
    </row>
    <row r="15" spans="2:94" ht="19.8" customHeight="1">
      <c r="B15" s="11" t="s">
        <v>376</v>
      </c>
      <c r="C15" s="11" t="s">
        <v>562</v>
      </c>
      <c r="AN15" s="82">
        <f>BZ2</f>
        <v>46054</v>
      </c>
      <c r="AO15" s="82"/>
      <c r="AP15" s="82"/>
      <c r="AQ15" s="82"/>
      <c r="AR15" s="82"/>
      <c r="AS15" s="82"/>
    </row>
    <row r="16" spans="2:94" ht="19.8" customHeight="1">
      <c r="I16" s="11" t="str">
        <f>IFERROR(VLOOKUP($CI$2,清掃パート勤務形態一覧!$A$2:$BZ$200,20,FALSE),"")</f>
        <v>23:00～24:30</v>
      </c>
      <c r="J16" s="64"/>
      <c r="K16" s="64"/>
      <c r="L16" s="64"/>
      <c r="M16" s="64"/>
      <c r="N16" s="64"/>
      <c r="O16" s="64"/>
      <c r="P16" s="64"/>
      <c r="Q16" s="64"/>
      <c r="W16" s="56" t="s">
        <v>412</v>
      </c>
      <c r="X16" s="16"/>
      <c r="Y16" s="16" t="s">
        <v>410</v>
      </c>
      <c r="Z16" s="16"/>
      <c r="AA16" s="11">
        <f>IFERROR(VLOOKUP($CI$2,清掃パート勤務形態一覧!$A$2:$BZ$200,12,FALSE),"")</f>
        <v>3</v>
      </c>
      <c r="AB16" s="16"/>
      <c r="AC16" s="16" t="s">
        <v>411</v>
      </c>
      <c r="AJ16" s="16"/>
      <c r="AK16" s="16"/>
      <c r="AL16" s="16"/>
      <c r="AM16" s="16"/>
      <c r="AN16" s="12"/>
    </row>
    <row r="17" spans="2:45" ht="19.8" customHeight="1">
      <c r="AN17" s="61"/>
    </row>
    <row r="18" spans="2:45" ht="19.8" customHeight="1">
      <c r="D18" s="11" t="s">
        <v>379</v>
      </c>
      <c r="AO18" s="15" t="s">
        <v>397</v>
      </c>
      <c r="AS18" s="14" t="s">
        <v>394</v>
      </c>
    </row>
    <row r="19" spans="2:45" ht="19.8" customHeight="1">
      <c r="D19" s="11" t="s">
        <v>560</v>
      </c>
      <c r="AN19" s="12"/>
      <c r="AS19" s="62" t="s">
        <v>400</v>
      </c>
    </row>
    <row r="20" spans="2:45" ht="19.8" customHeight="1">
      <c r="D20" s="11" t="s">
        <v>547</v>
      </c>
      <c r="AN20" s="12"/>
      <c r="AS20" s="63" t="s">
        <v>399</v>
      </c>
    </row>
    <row r="21" spans="2:45" ht="19.8" customHeight="1">
      <c r="AN21" s="12"/>
    </row>
    <row r="22" spans="2:45" ht="19.8" customHeight="1">
      <c r="B22" s="11" t="s">
        <v>380</v>
      </c>
      <c r="C22" s="11" t="s">
        <v>381</v>
      </c>
      <c r="K22" s="11" t="s">
        <v>434</v>
      </c>
      <c r="N22" s="78">
        <f>IFERROR(VLOOKUP($CI$2,清掃パート勤務形態一覧!$A$2:$BZ$200,34,FALSE),"")</f>
        <v>3000</v>
      </c>
      <c r="O22" s="78"/>
      <c r="P22" s="78"/>
      <c r="Q22" s="78"/>
      <c r="R22" s="78"/>
      <c r="S22" s="78"/>
      <c r="T22" s="78"/>
      <c r="U22" s="11" t="s">
        <v>387</v>
      </c>
      <c r="AN22" s="12"/>
    </row>
    <row r="23" spans="2:45" ht="19.8" customHeight="1">
      <c r="C23" s="11" t="str">
        <f>IFERROR(VLOOKUP($CI$2,清掃パート勤務形態一覧!$A$2:$BZ$200,54,FALSE),"")</f>
        <v>尚、リーダー手当として　月</v>
      </c>
      <c r="R23" s="78">
        <f>IFERROR(VLOOKUP($CI$2,清掃パート勤務形態一覧!$A$2:$BZ$200,38,FALSE),"")</f>
        <v>7500</v>
      </c>
      <c r="S23" s="78"/>
      <c r="T23" s="78"/>
      <c r="U23" s="78"/>
      <c r="V23" s="78"/>
      <c r="W23" s="11" t="str">
        <f>IFERROR(VLOOKUP($CI$2,清掃パート勤務形態一覧!$A$2:$BZ$200,55,FALSE),"")</f>
        <v>を加算する。</v>
      </c>
      <c r="AO23" s="15" t="s">
        <v>398</v>
      </c>
      <c r="AS23" s="11" t="str">
        <f>IFERROR(VLOOKUP($CI$2,清掃パート勤務形態一覧!$A$2:$BZ$200,46,FALSE),"")</f>
        <v>横浜市戸塚区</v>
      </c>
    </row>
    <row r="24" spans="2:45" ht="19.8" customHeight="1">
      <c r="AN24" s="13"/>
      <c r="AS24" s="11" t="str">
        <f>IFERROR(VLOOKUP($CI$2,清掃パート勤務形態一覧!$A$2:$BZ$200,47,FALSE),"")</f>
        <v>戸塚町４５３６番地１８戸塚富士見丘ハイツC－５０４</v>
      </c>
    </row>
    <row r="25" spans="2:45" ht="19.8" customHeight="1">
      <c r="B25" s="11" t="s">
        <v>413</v>
      </c>
      <c r="C25" s="11" t="s">
        <v>382</v>
      </c>
      <c r="AN25" s="12"/>
    </row>
    <row r="26" spans="2:45" ht="19.8" customHeight="1">
      <c r="C26" s="11" t="s">
        <v>383</v>
      </c>
      <c r="AN26" s="12"/>
      <c r="AS26" s="11" t="str">
        <f>IFERROR(VLOOKUP($CI$2,清掃パート勤務形態一覧!$A$2:$BZ$200,4,FALSE),"")</f>
        <v>福田　愛</v>
      </c>
    </row>
    <row r="27" spans="2:45" ht="19.8" customHeight="1">
      <c r="C27" s="11" t="s">
        <v>384</v>
      </c>
    </row>
    <row r="28" spans="2:45" ht="19.8" customHeight="1">
      <c r="B28" s="11" t="s">
        <v>365</v>
      </c>
    </row>
    <row r="29" spans="2:45" ht="19.8" customHeight="1">
      <c r="B29" s="11" t="s">
        <v>414</v>
      </c>
      <c r="C29" s="11" t="s">
        <v>386</v>
      </c>
    </row>
    <row r="30" spans="2:45" ht="19.8" customHeight="1">
      <c r="C30" s="11" t="s">
        <v>366</v>
      </c>
    </row>
    <row r="33" spans="2:19" ht="19.8" customHeight="1">
      <c r="B33" s="11" t="s">
        <v>385</v>
      </c>
      <c r="C33" s="11" t="s">
        <v>395</v>
      </c>
      <c r="I33" s="82">
        <f>BZ2</f>
        <v>46054</v>
      </c>
      <c r="J33" s="82"/>
      <c r="K33" s="82"/>
      <c r="L33" s="82"/>
      <c r="M33" s="82"/>
      <c r="N33" s="82"/>
      <c r="O33" s="82"/>
      <c r="P33" s="82"/>
      <c r="Q33" s="82"/>
      <c r="S33" s="11" t="s">
        <v>402</v>
      </c>
    </row>
    <row r="34" spans="2:19" ht="19.8" customHeight="1">
      <c r="C34" s="12" t="s">
        <v>401</v>
      </c>
    </row>
    <row r="35" spans="2:19" ht="19.8" customHeight="1">
      <c r="B35" s="12"/>
    </row>
    <row r="36" spans="2:19" ht="19.8" customHeight="1">
      <c r="B36" s="12"/>
    </row>
    <row r="37" spans="2:19" ht="19.8" customHeight="1">
      <c r="B37" s="12"/>
    </row>
    <row r="38" spans="2:19" ht="19.8" customHeight="1">
      <c r="B38" s="12"/>
    </row>
    <row r="39" spans="2:19" ht="19.8" customHeight="1">
      <c r="B39" s="12"/>
    </row>
    <row r="58" ht="25.2" customHeight="1"/>
    <row r="59" ht="25.2" customHeight="1"/>
  </sheetData>
  <mergeCells count="5">
    <mergeCell ref="BZ2:CG2"/>
    <mergeCell ref="R23:V23"/>
    <mergeCell ref="I33:Q33"/>
    <mergeCell ref="AN15:AS15"/>
    <mergeCell ref="N22:T22"/>
  </mergeCells>
  <phoneticPr fontId="1"/>
  <pageMargins left="0.28000000000000003" right="0.16" top="0.41" bottom="0.16" header="0.3" footer="0.16"/>
  <pageSetup paperSize="9" scale="7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PrintSheet">
                <anchor moveWithCells="1" sizeWithCells="1">
                  <from>
                    <xdr:col>77</xdr:col>
                    <xdr:colOff>60960</xdr:colOff>
                    <xdr:row>4</xdr:row>
                    <xdr:rowOff>30480</xdr:rowOff>
                  </from>
                  <to>
                    <xdr:col>84</xdr:col>
                    <xdr:colOff>99060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aveAsPDF">
                <anchor moveWithCells="1" sizeWithCells="1">
                  <from>
                    <xdr:col>77</xdr:col>
                    <xdr:colOff>121920</xdr:colOff>
                    <xdr:row>7</xdr:row>
                    <xdr:rowOff>91440</xdr:rowOff>
                  </from>
                  <to>
                    <xdr:col>84</xdr:col>
                    <xdr:colOff>114300</xdr:colOff>
                    <xdr:row>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4D16A-067F-4700-BA70-9C6556E4F19C}">
  <sheetPr codeName="Sheet12">
    <tabColor theme="9" tint="-0.249977111117893"/>
    <pageSetUpPr fitToPage="1"/>
  </sheetPr>
  <dimension ref="B1:CP64"/>
  <sheetViews>
    <sheetView showZeros="0" view="pageBreakPreview" topLeftCell="AB1" zoomScale="72" zoomScaleNormal="100" zoomScaleSheetLayoutView="72" workbookViewId="0">
      <selection activeCell="CI3" sqref="CI3"/>
    </sheetView>
  </sheetViews>
  <sheetFormatPr defaultColWidth="2.09765625" defaultRowHeight="19.8" customHeight="1"/>
  <cols>
    <col min="1" max="1" width="2.59765625" style="11" customWidth="1"/>
    <col min="2" max="2" width="8.59765625" style="11" customWidth="1"/>
    <col min="3" max="3" width="1.796875" style="11" customWidth="1"/>
    <col min="4" max="4" width="1.8984375" style="11" customWidth="1"/>
    <col min="5" max="8" width="2.09765625" style="11"/>
    <col min="9" max="9" width="2.19921875" style="11" customWidth="1"/>
    <col min="10" max="13" width="2.09765625" style="11"/>
    <col min="14" max="14" width="2.8984375" style="11" customWidth="1"/>
    <col min="15" max="15" width="2.09765625" style="11"/>
    <col min="16" max="16" width="2.5" style="11" customWidth="1"/>
    <col min="17" max="18" width="2.09765625" style="11"/>
    <col min="19" max="19" width="2.09765625" style="11" customWidth="1"/>
    <col min="20" max="22" width="2.296875" style="11" customWidth="1"/>
    <col min="23" max="34" width="2.59765625" style="11" customWidth="1"/>
    <col min="35" max="35" width="2.09765625" style="11" customWidth="1"/>
    <col min="36" max="37" width="2.09765625" style="11"/>
    <col min="38" max="38" width="3.296875" style="11" customWidth="1"/>
    <col min="39" max="39" width="8.8984375" style="11" customWidth="1"/>
    <col min="40" max="16384" width="2.09765625" style="11"/>
  </cols>
  <sheetData>
    <row r="1" spans="2:94" ht="19.8" customHeight="1" thickBot="1">
      <c r="K1" s="14" t="s">
        <v>360</v>
      </c>
      <c r="AM1" s="12" t="s">
        <v>389</v>
      </c>
      <c r="AN1" s="11" t="s">
        <v>390</v>
      </c>
    </row>
    <row r="2" spans="2:94" ht="19.8" customHeight="1" thickBot="1">
      <c r="AN2" s="12" t="s">
        <v>367</v>
      </c>
      <c r="BZ2" s="79">
        <v>46054</v>
      </c>
      <c r="CA2" s="80"/>
      <c r="CB2" s="80"/>
      <c r="CC2" s="80"/>
      <c r="CD2" s="80"/>
      <c r="CE2" s="80"/>
      <c r="CF2" s="80"/>
      <c r="CG2" s="81"/>
      <c r="CI2" s="74" t="s">
        <v>506</v>
      </c>
      <c r="CJ2" s="75"/>
      <c r="CK2" s="75"/>
      <c r="CL2" s="75"/>
      <c r="CM2" s="75"/>
      <c r="CN2" s="75"/>
      <c r="CO2" s="75"/>
      <c r="CP2" s="76"/>
    </row>
    <row r="3" spans="2:94" ht="19.8" customHeight="1">
      <c r="AM3" s="12"/>
    </row>
    <row r="4" spans="2:94" ht="19.8" customHeight="1">
      <c r="B4" s="11" t="s">
        <v>396</v>
      </c>
      <c r="P4" s="11" t="str">
        <f>IFERROR(VLOOKUP($CI$2,清掃パート勤務形態一覧!$A$2:$BZ$200,4,FALSE),"")</f>
        <v>伊藤　留美子</v>
      </c>
      <c r="W4" s="11" t="s">
        <v>371</v>
      </c>
      <c r="AM4" s="60"/>
      <c r="AN4" s="11" t="s">
        <v>368</v>
      </c>
      <c r="CJ4" s="11" t="s">
        <v>499</v>
      </c>
    </row>
    <row r="5" spans="2:94" ht="19.8" customHeight="1">
      <c r="B5" s="11" t="s">
        <v>361</v>
      </c>
      <c r="AN5" s="12" t="s">
        <v>391</v>
      </c>
      <c r="CJ5" s="11" t="s">
        <v>506</v>
      </c>
    </row>
    <row r="6" spans="2:94" ht="19.8" customHeight="1">
      <c r="AN6" s="12" t="s">
        <v>392</v>
      </c>
    </row>
    <row r="7" spans="2:94" ht="19.8" customHeight="1">
      <c r="B7" s="11" t="s">
        <v>372</v>
      </c>
      <c r="C7" s="11" t="s">
        <v>373</v>
      </c>
      <c r="AN7" s="12" t="s">
        <v>393</v>
      </c>
    </row>
    <row r="8" spans="2:94" ht="19.8" customHeight="1">
      <c r="C8" s="11" t="s">
        <v>362</v>
      </c>
      <c r="AM8" s="12"/>
    </row>
    <row r="9" spans="2:94" ht="19.8" customHeight="1">
      <c r="AM9" s="12" t="s">
        <v>558</v>
      </c>
    </row>
    <row r="10" spans="2:94" ht="19.8" customHeight="1">
      <c r="C10" s="11" t="s">
        <v>403</v>
      </c>
      <c r="I10" s="59" t="s">
        <v>423</v>
      </c>
      <c r="J10" s="11" t="str">
        <f>IFERROR(VLOOKUP($CI$2,清掃パート勤務形態一覧!$A$2:$BZ$200,5,FALSE),"")</f>
        <v>東横フェスタ2</v>
      </c>
      <c r="S10" s="59" t="s">
        <v>404</v>
      </c>
      <c r="T10" s="11" t="str">
        <f>IFERROR(VLOOKUP($CI$2,清掃パート勤務形態一覧!$A$2:$BZ$200,6,FALSE),"")</f>
        <v xml:space="preserve">東横フェスタ8 </v>
      </c>
      <c r="AM10" s="12" t="s">
        <v>563</v>
      </c>
    </row>
    <row r="11" spans="2:94" ht="19.8" customHeight="1">
      <c r="I11" s="11" t="s">
        <v>556</v>
      </c>
      <c r="AM11" s="12"/>
    </row>
    <row r="12" spans="2:94" ht="19.8" customHeight="1">
      <c r="C12" s="11" t="s">
        <v>375</v>
      </c>
      <c r="I12" s="11" t="s">
        <v>441</v>
      </c>
      <c r="AM12" s="12" t="s">
        <v>369</v>
      </c>
    </row>
    <row r="13" spans="2:94" ht="19.8" customHeight="1">
      <c r="B13" s="11" t="s">
        <v>363</v>
      </c>
      <c r="I13" s="11" t="s">
        <v>557</v>
      </c>
      <c r="AM13" s="12" t="s">
        <v>370</v>
      </c>
    </row>
    <row r="14" spans="2:94" ht="19.8" customHeight="1">
      <c r="AM14" s="12"/>
    </row>
    <row r="15" spans="2:94" ht="19.8" customHeight="1">
      <c r="B15" s="11" t="s">
        <v>376</v>
      </c>
      <c r="C15" s="11" t="s">
        <v>562</v>
      </c>
      <c r="U15" s="56" t="s">
        <v>412</v>
      </c>
      <c r="V15" s="16"/>
      <c r="X15" s="16" t="s">
        <v>410</v>
      </c>
      <c r="Y15" s="16"/>
      <c r="Z15" s="11">
        <f>IFERROR(VLOOKUP($CI$2,清掃パート勤務形態一覧!$A$2:$BZ$200,12,FALSE),"")</f>
        <v>6</v>
      </c>
      <c r="AA15" s="16"/>
      <c r="AB15" s="16" t="s">
        <v>411</v>
      </c>
      <c r="AM15" s="82">
        <f>BZ2</f>
        <v>46054</v>
      </c>
      <c r="AN15" s="82"/>
      <c r="AO15" s="82"/>
      <c r="AP15" s="82"/>
      <c r="AQ15" s="82"/>
      <c r="AR15" s="82"/>
    </row>
    <row r="16" spans="2:94" ht="19.8" customHeight="1">
      <c r="H16" s="59" t="s">
        <v>423</v>
      </c>
      <c r="I16" s="11" t="str">
        <f>IFERROR(VLOOKUP($CI$2,清掃パート勤務形態一覧!$A$2:$BZ$200,20,FALSE),"")</f>
        <v>23:00～24:30</v>
      </c>
      <c r="J16" s="64"/>
      <c r="K16" s="64"/>
      <c r="L16" s="64"/>
      <c r="M16" s="64"/>
      <c r="N16" s="64"/>
      <c r="O16" s="64"/>
      <c r="P16" s="64"/>
      <c r="Q16" s="64"/>
      <c r="R16" s="16" t="s">
        <v>410</v>
      </c>
      <c r="T16" s="11">
        <f>IFERROR(VLOOKUP($CI$2,清掃パート勤務形態一覧!$A$2:$BZ$200,13,FALSE),"")</f>
        <v>4</v>
      </c>
      <c r="V16" s="16" t="s">
        <v>411</v>
      </c>
      <c r="AJ16" s="16"/>
      <c r="AK16" s="16"/>
      <c r="AL16" s="16"/>
      <c r="AM16" s="12"/>
    </row>
    <row r="17" spans="2:44" ht="19.8" customHeight="1">
      <c r="H17" s="59" t="s">
        <v>404</v>
      </c>
      <c r="I17" s="11" t="str">
        <f>IFERROR(VLOOKUP($CI$2,清掃パート勤務形態一覧!$A$2:$BZ$200,21,FALSE),"")</f>
        <v>23:00～24:30</v>
      </c>
      <c r="R17" s="16" t="s">
        <v>410</v>
      </c>
      <c r="T17" s="11">
        <f>IFERROR(VLOOKUP($CI$2,清掃パート勤務形態一覧!$A$2:$BZ$200,14,FALSE),"")</f>
        <v>2</v>
      </c>
      <c r="V17" s="16" t="s">
        <v>411</v>
      </c>
      <c r="AM17" s="61"/>
    </row>
    <row r="18" spans="2:44" ht="19.8" customHeight="1">
      <c r="AN18" s="15" t="s">
        <v>397</v>
      </c>
      <c r="AR18" s="14" t="s">
        <v>394</v>
      </c>
    </row>
    <row r="19" spans="2:44" ht="19.8" customHeight="1">
      <c r="D19" s="11" t="s">
        <v>379</v>
      </c>
      <c r="AM19" s="12"/>
      <c r="AR19" s="62" t="s">
        <v>400</v>
      </c>
    </row>
    <row r="20" spans="2:44" ht="19.8" customHeight="1">
      <c r="D20" s="11" t="s">
        <v>560</v>
      </c>
      <c r="AM20" s="12"/>
      <c r="AR20" s="63" t="s">
        <v>399</v>
      </c>
    </row>
    <row r="21" spans="2:44" ht="19.8" customHeight="1">
      <c r="D21" s="11" t="s">
        <v>547</v>
      </c>
      <c r="AM21" s="12"/>
    </row>
    <row r="22" spans="2:44" ht="19.8" customHeight="1">
      <c r="AM22" s="12"/>
    </row>
    <row r="23" spans="2:44" ht="19.8" customHeight="1">
      <c r="B23" s="11" t="s">
        <v>380</v>
      </c>
      <c r="C23" s="11" t="s">
        <v>381</v>
      </c>
      <c r="K23" s="11" t="s">
        <v>434</v>
      </c>
      <c r="N23" s="78">
        <f>IFERROR(VLOOKUP($CI$2,清掃パート勤務形態一覧!$A$2:$BZ$200,34,FALSE),"")</f>
        <v>2800</v>
      </c>
      <c r="O23" s="78"/>
      <c r="P23" s="78"/>
      <c r="Q23" s="78"/>
      <c r="R23" s="78"/>
      <c r="S23" s="78"/>
      <c r="T23" s="78"/>
      <c r="U23" s="11" t="s">
        <v>387</v>
      </c>
      <c r="AN23" s="15" t="s">
        <v>398</v>
      </c>
      <c r="AR23" s="11" t="str">
        <f>IFERROR(VLOOKUP($CI$2,清掃パート勤務形態一覧!$A$2:$BZ$200,46,FALSE),"")</f>
        <v>横浜市戸塚区</v>
      </c>
    </row>
    <row r="24" spans="2:44" ht="19.8" customHeight="1">
      <c r="C24" s="11">
        <f>IFERROR(VLOOKUP($CI$2,清掃パート勤務形態一覧!$A$2:$BZ$200,54,FALSE),"")</f>
        <v>0</v>
      </c>
      <c r="R24" s="78">
        <f>IFERROR(VLOOKUP($CI$2,清掃パート勤務形態一覧!$A$2:$BZ$200,38,FALSE),"")</f>
        <v>0</v>
      </c>
      <c r="S24" s="78"/>
      <c r="T24" s="78"/>
      <c r="U24" s="78"/>
      <c r="V24" s="78"/>
      <c r="W24" s="11">
        <f>IFERROR(VLOOKUP($CI$2,清掃パート勤務形態一覧!$A$2:$BZ$200,55,FALSE),"")</f>
        <v>0</v>
      </c>
      <c r="AM24" s="13"/>
      <c r="AR24" s="11" t="str">
        <f>IFERROR(VLOOKUP($CI$2,清掃パート勤務形態一覧!$A$2:$BZ$200,47,FALSE),"")</f>
        <v>鳥が丘４１番地８</v>
      </c>
    </row>
    <row r="25" spans="2:44" ht="19.8" customHeight="1">
      <c r="AM25" s="12"/>
    </row>
    <row r="26" spans="2:44" ht="19.8" customHeight="1">
      <c r="B26" s="11" t="s">
        <v>413</v>
      </c>
      <c r="C26" s="11" t="s">
        <v>382</v>
      </c>
      <c r="AR26" s="11" t="str">
        <f>IFERROR(VLOOKUP($CI$2,清掃パート勤務形態一覧!$A$2:$BZ$200,4,FALSE),"")</f>
        <v>伊藤　留美子</v>
      </c>
    </row>
    <row r="27" spans="2:44" ht="19.8" customHeight="1">
      <c r="C27" s="11" t="s">
        <v>383</v>
      </c>
    </row>
    <row r="28" spans="2:44" ht="19.8" customHeight="1">
      <c r="C28" s="11" t="s">
        <v>384</v>
      </c>
    </row>
    <row r="29" spans="2:44" ht="19.8" customHeight="1">
      <c r="B29" s="11" t="s">
        <v>365</v>
      </c>
    </row>
    <row r="30" spans="2:44" ht="19.8" customHeight="1">
      <c r="B30" s="11" t="s">
        <v>414</v>
      </c>
      <c r="C30" s="11" t="s">
        <v>386</v>
      </c>
    </row>
    <row r="31" spans="2:44" ht="19.8" customHeight="1">
      <c r="C31" s="11" t="s">
        <v>366</v>
      </c>
    </row>
    <row r="34" spans="2:19" ht="19.8" customHeight="1">
      <c r="B34" s="11" t="s">
        <v>385</v>
      </c>
      <c r="C34" s="11" t="s">
        <v>395</v>
      </c>
      <c r="I34" s="82">
        <f>BZ2</f>
        <v>46054</v>
      </c>
      <c r="J34" s="82"/>
      <c r="K34" s="82"/>
      <c r="L34" s="82"/>
      <c r="M34" s="82"/>
      <c r="N34" s="82"/>
      <c r="O34" s="82"/>
      <c r="P34" s="82"/>
      <c r="Q34" s="82"/>
      <c r="S34" s="11" t="s">
        <v>402</v>
      </c>
    </row>
    <row r="35" spans="2:19" ht="19.8" customHeight="1">
      <c r="C35" s="12" t="s">
        <v>401</v>
      </c>
    </row>
    <row r="36" spans="2:19" ht="19.8" customHeight="1">
      <c r="B36" s="12"/>
    </row>
    <row r="37" spans="2:19" ht="19.8" customHeight="1">
      <c r="B37" s="12"/>
    </row>
    <row r="38" spans="2:19" ht="19.8" customHeight="1">
      <c r="B38" s="12"/>
    </row>
    <row r="57" spans="2:2" ht="25.2" customHeight="1"/>
    <row r="58" spans="2:2" ht="25.2" customHeight="1"/>
    <row r="64" spans="2:2" ht="19.8" customHeight="1">
      <c r="B64" s="12"/>
    </row>
  </sheetData>
  <mergeCells count="5">
    <mergeCell ref="BZ2:CG2"/>
    <mergeCell ref="N23:T23"/>
    <mergeCell ref="R24:V24"/>
    <mergeCell ref="I34:Q34"/>
    <mergeCell ref="AM15:AR15"/>
  </mergeCells>
  <phoneticPr fontId="1"/>
  <pageMargins left="0.31" right="0.16" top="0.39" bottom="0.36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PrintSheet">
                <anchor moveWithCells="1" sizeWithCells="1">
                  <from>
                    <xdr:col>77</xdr:col>
                    <xdr:colOff>38100</xdr:colOff>
                    <xdr:row>3</xdr:row>
                    <xdr:rowOff>53340</xdr:rowOff>
                  </from>
                  <to>
                    <xdr:col>84</xdr:col>
                    <xdr:colOff>76200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aveAsPDF">
                <anchor moveWithCells="1" sizeWithCells="1">
                  <from>
                    <xdr:col>77</xdr:col>
                    <xdr:colOff>83820</xdr:colOff>
                    <xdr:row>6</xdr:row>
                    <xdr:rowOff>83820</xdr:rowOff>
                  </from>
                  <to>
                    <xdr:col>84</xdr:col>
                    <xdr:colOff>76200</xdr:colOff>
                    <xdr:row>8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6EAC1-F474-4480-AA32-C71611F3FCB3}">
  <sheetPr codeName="Sheet8">
    <tabColor rgb="FF00B0F0"/>
    <pageSetUpPr fitToPage="1"/>
  </sheetPr>
  <dimension ref="B1:CP38"/>
  <sheetViews>
    <sheetView showZeros="0" view="pageBreakPreview" topLeftCell="AM1" zoomScale="86" zoomScaleNormal="100" zoomScaleSheetLayoutView="86" workbookViewId="0">
      <selection activeCell="CI3" sqref="CI3"/>
    </sheetView>
  </sheetViews>
  <sheetFormatPr defaultColWidth="2.09765625" defaultRowHeight="19.8" customHeight="1"/>
  <cols>
    <col min="1" max="1" width="2.59765625" style="11" customWidth="1"/>
    <col min="2" max="2" width="8.59765625" style="11" customWidth="1"/>
    <col min="3" max="3" width="2.09765625" style="11"/>
    <col min="4" max="4" width="2.59765625" style="11" customWidth="1"/>
    <col min="5" max="8" width="2.09765625" style="11"/>
    <col min="9" max="9" width="2.19921875" style="11" customWidth="1"/>
    <col min="10" max="15" width="2.09765625" style="11"/>
    <col min="16" max="16" width="2.5" style="11" customWidth="1"/>
    <col min="17" max="20" width="2.09765625" style="11"/>
    <col min="21" max="34" width="2.59765625" style="11" customWidth="1"/>
    <col min="35" max="37" width="2.09765625" style="11"/>
    <col min="38" max="38" width="2" style="11" customWidth="1"/>
    <col min="39" max="39" width="9.8984375" style="11" customWidth="1"/>
    <col min="40" max="16384" width="2.09765625" style="11"/>
  </cols>
  <sheetData>
    <row r="1" spans="2:94" ht="19.8" customHeight="1" thickBot="1">
      <c r="K1" s="14" t="s">
        <v>439</v>
      </c>
      <c r="AM1" s="12" t="s">
        <v>389</v>
      </c>
      <c r="AN1" s="11" t="s">
        <v>390</v>
      </c>
    </row>
    <row r="2" spans="2:94" ht="19.8" customHeight="1" thickBot="1">
      <c r="AN2" s="12" t="s">
        <v>367</v>
      </c>
      <c r="BZ2" s="79">
        <v>46054</v>
      </c>
      <c r="CA2" s="80"/>
      <c r="CB2" s="80"/>
      <c r="CC2" s="80"/>
      <c r="CD2" s="80"/>
      <c r="CE2" s="80"/>
      <c r="CF2" s="80"/>
      <c r="CG2" s="81"/>
      <c r="CI2" s="74" t="s">
        <v>452</v>
      </c>
      <c r="CJ2" s="75"/>
      <c r="CK2" s="75"/>
      <c r="CL2" s="75"/>
      <c r="CM2" s="75"/>
      <c r="CN2" s="75"/>
      <c r="CO2" s="75"/>
      <c r="CP2" s="76"/>
    </row>
    <row r="3" spans="2:94" ht="19.8" customHeight="1">
      <c r="AM3" s="12"/>
    </row>
    <row r="4" spans="2:94" ht="19.8" customHeight="1">
      <c r="B4" s="11" t="s">
        <v>396</v>
      </c>
      <c r="P4" s="11" t="str">
        <f>IFERROR(VLOOKUP($CI$2,清掃パート勤務形態一覧!$A$2:$BZ$200,4,FALSE),"")</f>
        <v>柴田　幸恵</v>
      </c>
      <c r="W4" s="11" t="s">
        <v>371</v>
      </c>
      <c r="AM4" s="60"/>
      <c r="AN4" s="11" t="s">
        <v>368</v>
      </c>
      <c r="CJ4" s="11" t="s">
        <v>437</v>
      </c>
    </row>
    <row r="5" spans="2:94" ht="19.8" customHeight="1">
      <c r="B5" s="11" t="s">
        <v>361</v>
      </c>
      <c r="AN5" s="12" t="s">
        <v>391</v>
      </c>
      <c r="CJ5" s="11" t="s">
        <v>570</v>
      </c>
    </row>
    <row r="6" spans="2:94" ht="19.8" customHeight="1">
      <c r="AN6" s="12" t="s">
        <v>392</v>
      </c>
      <c r="CJ6" s="11" t="s">
        <v>452</v>
      </c>
    </row>
    <row r="7" spans="2:94" ht="19.8" customHeight="1">
      <c r="B7" s="11" t="s">
        <v>372</v>
      </c>
      <c r="C7" s="11" t="s">
        <v>373</v>
      </c>
      <c r="AN7" s="12" t="s">
        <v>393</v>
      </c>
    </row>
    <row r="8" spans="2:94" ht="19.8" customHeight="1">
      <c r="C8" s="11" t="s">
        <v>362</v>
      </c>
      <c r="AN8" s="12"/>
    </row>
    <row r="9" spans="2:94" ht="19.8" customHeight="1">
      <c r="AM9" s="12" t="s">
        <v>558</v>
      </c>
    </row>
    <row r="10" spans="2:94" ht="19.8" customHeight="1">
      <c r="C10" s="11" t="s">
        <v>403</v>
      </c>
      <c r="I10" s="11" t="str">
        <f>IFERROR(VLOOKUP($CI$2,清掃パート勤務形態一覧!$A$2:$BZ$200,5,FALSE),"")</f>
        <v>甲の管理物件全般</v>
      </c>
      <c r="AM10" s="12" t="s">
        <v>563</v>
      </c>
    </row>
    <row r="11" spans="2:94" ht="19.8" customHeight="1">
      <c r="I11" s="11" t="s">
        <v>556</v>
      </c>
      <c r="AM11" s="12"/>
    </row>
    <row r="12" spans="2:94" ht="19.8" customHeight="1">
      <c r="C12" s="11" t="s">
        <v>375</v>
      </c>
      <c r="I12" s="11" t="s">
        <v>440</v>
      </c>
      <c r="AM12" s="12" t="s">
        <v>369</v>
      </c>
    </row>
    <row r="13" spans="2:94" ht="19.8" customHeight="1">
      <c r="B13" s="11" t="s">
        <v>363</v>
      </c>
      <c r="I13" s="11" t="s">
        <v>557</v>
      </c>
      <c r="AM13" s="12" t="s">
        <v>370</v>
      </c>
    </row>
    <row r="14" spans="2:94" ht="19.8" customHeight="1">
      <c r="AM14" s="12"/>
    </row>
    <row r="15" spans="2:94" ht="19.8" customHeight="1">
      <c r="B15" s="11" t="s">
        <v>376</v>
      </c>
      <c r="C15" s="11" t="s">
        <v>562</v>
      </c>
      <c r="W15" s="56" t="s">
        <v>412</v>
      </c>
      <c r="X15" s="16"/>
      <c r="Y15" s="16" t="s">
        <v>454</v>
      </c>
      <c r="Z15" s="16"/>
      <c r="AA15" s="11">
        <f>IFERROR(VLOOKUP($CI$2,清掃パート勤務形態一覧!$A$2:$BZ$200,13,FALSE),"")</f>
        <v>8</v>
      </c>
      <c r="AB15" s="16"/>
      <c r="AC15" s="16" t="s">
        <v>548</v>
      </c>
      <c r="AM15" s="82">
        <f>BZ2</f>
        <v>46054</v>
      </c>
      <c r="AN15" s="82"/>
      <c r="AO15" s="82"/>
      <c r="AP15" s="82"/>
      <c r="AQ15" s="82"/>
      <c r="AR15" s="82"/>
    </row>
    <row r="16" spans="2:94" ht="19.8" customHeight="1">
      <c r="I16" s="59" t="s">
        <v>423</v>
      </c>
      <c r="J16" s="11" t="str">
        <f>IFERROR(VLOOKUP($CI$2,清掃パート勤務形態一覧!$A$2:$BZ$200,20,FALSE),"")</f>
        <v>日中作業</v>
      </c>
      <c r="K16" s="64"/>
      <c r="L16" s="64"/>
      <c r="M16" s="64"/>
      <c r="N16" s="64"/>
      <c r="O16" s="64"/>
      <c r="P16" s="64"/>
      <c r="Q16" s="64"/>
      <c r="R16" s="64"/>
      <c r="AJ16" s="16"/>
      <c r="AK16" s="16"/>
      <c r="AL16" s="16"/>
      <c r="AM16" s="12"/>
    </row>
    <row r="17" spans="2:44" ht="19.8" customHeight="1">
      <c r="I17" s="59" t="s">
        <v>404</v>
      </c>
      <c r="J17" s="11" t="str">
        <f>IFERROR(VLOOKUP($CI$2,清掃パート勤務形態一覧!$A$2:$BZ$200,21,FALSE),"")</f>
        <v>夜間作業</v>
      </c>
      <c r="K17" s="64"/>
      <c r="L17" s="64"/>
      <c r="M17" s="64"/>
      <c r="N17" s="64"/>
      <c r="O17" s="64"/>
      <c r="P17" s="64"/>
      <c r="Q17" s="64"/>
      <c r="R17" s="64"/>
      <c r="AM17" s="61"/>
    </row>
    <row r="18" spans="2:44" ht="19.8" customHeight="1">
      <c r="D18" s="11" t="s">
        <v>551</v>
      </c>
      <c r="AN18" s="15" t="s">
        <v>397</v>
      </c>
      <c r="AR18" s="14" t="s">
        <v>394</v>
      </c>
    </row>
    <row r="19" spans="2:44" ht="19.8" customHeight="1">
      <c r="D19" s="11" t="s">
        <v>552</v>
      </c>
      <c r="AM19" s="12"/>
      <c r="AR19" s="62" t="s">
        <v>400</v>
      </c>
    </row>
    <row r="20" spans="2:44" ht="19.8" customHeight="1">
      <c r="D20" s="11" t="s">
        <v>549</v>
      </c>
      <c r="AM20" s="12"/>
      <c r="AR20" s="63" t="s">
        <v>399</v>
      </c>
    </row>
    <row r="21" spans="2:44" ht="19.8" customHeight="1">
      <c r="D21" s="11" t="s">
        <v>550</v>
      </c>
      <c r="AM21" s="12"/>
    </row>
    <row r="22" spans="2:44" ht="19.8" customHeight="1">
      <c r="AM22" s="12"/>
    </row>
    <row r="23" spans="2:44" ht="19.8" customHeight="1">
      <c r="B23" s="11" t="s">
        <v>380</v>
      </c>
      <c r="C23" s="11" t="s">
        <v>381</v>
      </c>
      <c r="K23" s="11" t="s">
        <v>388</v>
      </c>
      <c r="O23" s="59" t="s">
        <v>423</v>
      </c>
      <c r="P23" s="78">
        <f>IFERROR(VLOOKUP($CI$2,清掃パート勤務形態一覧!$A$2:$BZ$200,34,FALSE),"")</f>
        <v>1300</v>
      </c>
      <c r="Q23" s="78"/>
      <c r="R23" s="78"/>
      <c r="S23" s="78"/>
      <c r="T23" s="78"/>
      <c r="U23" s="78"/>
      <c r="V23" s="11" t="s">
        <v>387</v>
      </c>
      <c r="AN23" s="15" t="s">
        <v>398</v>
      </c>
      <c r="AR23" s="11" t="str">
        <f>IFERROR(VLOOKUP($CI$2,清掃パート勤務形態一覧!$A$2:$BZ$200,46,FALSE),"")</f>
        <v>横浜市泉区</v>
      </c>
    </row>
    <row r="24" spans="2:44" ht="19.8" customHeight="1">
      <c r="O24" s="59" t="s">
        <v>404</v>
      </c>
      <c r="P24" s="78">
        <f>IFERROR(VLOOKUP($CI$2,清掃パート勤務形態一覧!$A$2:$BZ$200,35,FALSE),"")</f>
        <v>1600</v>
      </c>
      <c r="Q24" s="78"/>
      <c r="R24" s="78"/>
      <c r="S24" s="78"/>
      <c r="T24" s="78"/>
      <c r="U24" s="78"/>
      <c r="V24" s="11" t="s">
        <v>387</v>
      </c>
      <c r="AM24" s="13"/>
      <c r="AR24" s="11" t="str">
        <f>IFERROR(VLOOKUP($CI$2,清掃パート勤務形態一覧!$A$2:$BZ$200,47,FALSE),"")</f>
        <v>岡津町７５番地９</v>
      </c>
    </row>
    <row r="25" spans="2:44" ht="19.8" customHeight="1">
      <c r="AM25" s="12"/>
    </row>
    <row r="26" spans="2:44" ht="19.8" customHeight="1">
      <c r="B26" s="11" t="s">
        <v>413</v>
      </c>
      <c r="C26" s="11" t="s">
        <v>382</v>
      </c>
      <c r="AR26" s="11" t="str">
        <f>IFERROR(VLOOKUP($CI$2,清掃パート勤務形態一覧!$A$2:$BZ$200,4,FALSE),"")</f>
        <v>柴田　幸恵</v>
      </c>
    </row>
    <row r="27" spans="2:44" ht="19.8" customHeight="1">
      <c r="C27" s="11" t="s">
        <v>383</v>
      </c>
    </row>
    <row r="28" spans="2:44" ht="19.8" customHeight="1">
      <c r="C28" s="11" t="s">
        <v>384</v>
      </c>
    </row>
    <row r="29" spans="2:44" ht="19.8" customHeight="1">
      <c r="B29" s="11" t="s">
        <v>365</v>
      </c>
    </row>
    <row r="30" spans="2:44" ht="19.8" customHeight="1">
      <c r="B30" s="11" t="s">
        <v>414</v>
      </c>
      <c r="C30" s="11" t="s">
        <v>386</v>
      </c>
    </row>
    <row r="31" spans="2:44" ht="19.8" customHeight="1">
      <c r="C31" s="11" t="s">
        <v>366</v>
      </c>
    </row>
    <row r="34" spans="2:19" ht="19.8" customHeight="1">
      <c r="B34" s="11" t="s">
        <v>385</v>
      </c>
      <c r="C34" s="11" t="s">
        <v>395</v>
      </c>
      <c r="I34" s="82">
        <f>BZ2</f>
        <v>46054</v>
      </c>
      <c r="J34" s="82"/>
      <c r="K34" s="82"/>
      <c r="L34" s="82"/>
      <c r="M34" s="82"/>
      <c r="N34" s="82"/>
      <c r="O34" s="82"/>
      <c r="P34" s="82"/>
      <c r="Q34" s="82"/>
      <c r="S34" s="11" t="s">
        <v>402</v>
      </c>
    </row>
    <row r="35" spans="2:19" ht="19.8" customHeight="1">
      <c r="C35" s="12" t="s">
        <v>401</v>
      </c>
    </row>
    <row r="36" spans="2:19" ht="19.8" customHeight="1">
      <c r="B36" s="12"/>
    </row>
    <row r="37" spans="2:19" ht="19.8" customHeight="1">
      <c r="B37" s="12"/>
    </row>
    <row r="38" spans="2:19" ht="19.8" customHeight="1">
      <c r="B38" s="12"/>
    </row>
  </sheetData>
  <mergeCells count="5">
    <mergeCell ref="BZ2:CG2"/>
    <mergeCell ref="I34:Q34"/>
    <mergeCell ref="P23:U23"/>
    <mergeCell ref="P24:U24"/>
    <mergeCell ref="AM15:AR15"/>
  </mergeCells>
  <phoneticPr fontId="1"/>
  <pageMargins left="0.22" right="0.16" top="0.43" bottom="0.36" header="0.3" footer="0.3"/>
  <pageSetup paperSize="9" scale="7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PrintSheet">
                <anchor moveWithCells="1" sizeWithCells="1">
                  <from>
                    <xdr:col>77</xdr:col>
                    <xdr:colOff>7620</xdr:colOff>
                    <xdr:row>3</xdr:row>
                    <xdr:rowOff>30480</xdr:rowOff>
                  </from>
                  <to>
                    <xdr:col>84</xdr:col>
                    <xdr:colOff>45720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SaveAsPDF">
                <anchor moveWithCells="1" sizeWithCells="1">
                  <from>
                    <xdr:col>77</xdr:col>
                    <xdr:colOff>38100</xdr:colOff>
                    <xdr:row>6</xdr:row>
                    <xdr:rowOff>220980</xdr:rowOff>
                  </from>
                  <to>
                    <xdr:col>84</xdr:col>
                    <xdr:colOff>30480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96317-7818-40CC-AF66-517EC774C993}">
  <sheetPr codeName="Sheet6">
    <tabColor rgb="FF00B0F0"/>
    <pageSetUpPr fitToPage="1"/>
  </sheetPr>
  <dimension ref="B1:CP67"/>
  <sheetViews>
    <sheetView showZeros="0" view="pageBreakPreview" topLeftCell="O1" zoomScale="75" zoomScaleNormal="100" zoomScaleSheetLayoutView="75" workbookViewId="0">
      <selection activeCell="BZ2" sqref="BZ2:CG2"/>
    </sheetView>
  </sheetViews>
  <sheetFormatPr defaultColWidth="2.09765625" defaultRowHeight="19.8" customHeight="1"/>
  <cols>
    <col min="1" max="1" width="2.59765625" style="11" customWidth="1"/>
    <col min="2" max="2" width="8.59765625" style="11" customWidth="1"/>
    <col min="3" max="3" width="2.09765625" style="11"/>
    <col min="4" max="4" width="2.59765625" style="11" customWidth="1"/>
    <col min="5" max="7" width="2.09765625" style="11"/>
    <col min="8" max="8" width="2.59765625" style="11" customWidth="1"/>
    <col min="9" max="9" width="2.19921875" style="11" customWidth="1"/>
    <col min="10" max="15" width="2.09765625" style="11"/>
    <col min="16" max="16" width="2.19921875" style="11" customWidth="1"/>
    <col min="17" max="17" width="2.09765625" style="11"/>
    <col min="18" max="18" width="2.296875" style="11" customWidth="1"/>
    <col min="19" max="19" width="2.59765625" style="11" bestFit="1" customWidth="1"/>
    <col min="20" max="20" width="2.09765625" style="11"/>
    <col min="21" max="26" width="2.59765625" style="11" customWidth="1"/>
    <col min="27" max="27" width="2.5" style="11" customWidth="1"/>
    <col min="28" max="34" width="2.59765625" style="11" customWidth="1"/>
    <col min="35" max="38" width="2.09765625" style="11"/>
    <col min="39" max="39" width="10" style="11" customWidth="1"/>
    <col min="40" max="16384" width="2.09765625" style="11"/>
  </cols>
  <sheetData>
    <row r="1" spans="2:94" ht="19.8" customHeight="1" thickBot="1">
      <c r="K1" s="14" t="s">
        <v>360</v>
      </c>
      <c r="AM1" s="11" t="s">
        <v>385</v>
      </c>
      <c r="AN1" s="11" t="s">
        <v>395</v>
      </c>
      <c r="AT1" s="82">
        <f>BZ2</f>
        <v>46054</v>
      </c>
      <c r="AU1" s="82"/>
      <c r="AV1" s="82"/>
      <c r="AW1" s="82"/>
      <c r="AX1" s="82"/>
      <c r="AY1" s="82"/>
      <c r="AZ1" s="82"/>
      <c r="BA1" s="82"/>
      <c r="BB1" s="82"/>
      <c r="BC1" s="82"/>
      <c r="BD1" s="11" t="s">
        <v>402</v>
      </c>
    </row>
    <row r="2" spans="2:94" ht="19.8" customHeight="1" thickBot="1">
      <c r="AN2" s="12" t="s">
        <v>401</v>
      </c>
      <c r="BZ2" s="79">
        <v>46054</v>
      </c>
      <c r="CA2" s="80"/>
      <c r="CB2" s="80"/>
      <c r="CC2" s="80"/>
      <c r="CD2" s="80"/>
      <c r="CE2" s="80"/>
      <c r="CF2" s="80"/>
      <c r="CG2" s="81"/>
      <c r="CI2" s="74" t="s">
        <v>446</v>
      </c>
      <c r="CJ2" s="75"/>
      <c r="CK2" s="75"/>
      <c r="CL2" s="75"/>
      <c r="CM2" s="75"/>
      <c r="CN2" s="75"/>
      <c r="CO2" s="75"/>
      <c r="CP2" s="76"/>
    </row>
    <row r="3" spans="2:94" ht="19.8" customHeight="1">
      <c r="AN3" s="12"/>
    </row>
    <row r="4" spans="2:94" ht="19.8" customHeight="1">
      <c r="B4" s="11" t="s">
        <v>396</v>
      </c>
      <c r="P4" s="11" t="str">
        <f>IFERROR(VLOOKUP($CI$2,清掃パート勤務形態一覧!$A$2:$BZ$200,4,FALSE),"")</f>
        <v>石黒　真弓</v>
      </c>
      <c r="W4" s="11" t="s">
        <v>371</v>
      </c>
      <c r="AM4" s="12" t="s">
        <v>389</v>
      </c>
      <c r="AN4" s="11" t="s">
        <v>390</v>
      </c>
      <c r="CI4" s="11" t="s">
        <v>451</v>
      </c>
    </row>
    <row r="5" spans="2:94" ht="19.8" customHeight="1">
      <c r="B5" s="11" t="s">
        <v>361</v>
      </c>
      <c r="AN5" s="12" t="s">
        <v>367</v>
      </c>
      <c r="CI5" s="11" t="s">
        <v>446</v>
      </c>
    </row>
    <row r="6" spans="2:94" ht="19.8" customHeight="1">
      <c r="AM6" s="12"/>
    </row>
    <row r="7" spans="2:94" ht="19.8" customHeight="1">
      <c r="B7" s="11" t="s">
        <v>372</v>
      </c>
      <c r="C7" s="11" t="s">
        <v>373</v>
      </c>
      <c r="AM7" s="60"/>
      <c r="AN7" s="11" t="s">
        <v>368</v>
      </c>
    </row>
    <row r="8" spans="2:94" ht="19.8" customHeight="1">
      <c r="C8" s="11" t="s">
        <v>362</v>
      </c>
      <c r="AN8" s="12" t="s">
        <v>391</v>
      </c>
    </row>
    <row r="9" spans="2:94" ht="19.8" customHeight="1">
      <c r="AN9" s="12" t="s">
        <v>392</v>
      </c>
    </row>
    <row r="10" spans="2:94" ht="19.8" customHeight="1">
      <c r="C10" s="11" t="s">
        <v>403</v>
      </c>
      <c r="H10" s="55" t="s">
        <v>423</v>
      </c>
      <c r="I10" s="11" t="str">
        <f>IFERROR(VLOOKUP($CI$2,清掃パート勤務形態一覧!$A$2:$BZ$200,5,FALSE),"")</f>
        <v>東横フェスタ5</v>
      </c>
      <c r="R10" s="55" t="s">
        <v>404</v>
      </c>
      <c r="S10" s="59" t="s">
        <v>405</v>
      </c>
      <c r="T10" s="11" t="str">
        <f>IFERROR(VLOOKUP($CI$2,清掃パート勤務形態一覧!$A$2:$BZ$200,6,FALSE),"")</f>
        <v>甲の管理物件全般</v>
      </c>
      <c r="AN10" s="12" t="s">
        <v>393</v>
      </c>
    </row>
    <row r="11" spans="2:94" ht="19.8" customHeight="1">
      <c r="H11" s="11" t="s">
        <v>556</v>
      </c>
      <c r="AN11" s="12"/>
    </row>
    <row r="12" spans="2:94" ht="19.8" customHeight="1">
      <c r="C12" s="11" t="s">
        <v>375</v>
      </c>
      <c r="H12" s="55"/>
      <c r="I12" s="11" t="s">
        <v>441</v>
      </c>
      <c r="R12" s="55" t="s">
        <v>404</v>
      </c>
      <c r="S12" s="59" t="s">
        <v>405</v>
      </c>
      <c r="T12" s="11" t="s">
        <v>440</v>
      </c>
      <c r="AM12" s="12" t="s">
        <v>558</v>
      </c>
    </row>
    <row r="13" spans="2:94" ht="19.8" customHeight="1">
      <c r="B13" s="11" t="s">
        <v>363</v>
      </c>
      <c r="H13" s="11" t="s">
        <v>557</v>
      </c>
      <c r="AM13" s="12" t="s">
        <v>563</v>
      </c>
    </row>
    <row r="14" spans="2:94" ht="19.8" customHeight="1">
      <c r="AM14" s="12"/>
    </row>
    <row r="15" spans="2:94" ht="19.8" customHeight="1">
      <c r="B15" s="11" t="s">
        <v>376</v>
      </c>
      <c r="C15" s="11" t="s">
        <v>562</v>
      </c>
      <c r="AM15" s="12" t="s">
        <v>369</v>
      </c>
    </row>
    <row r="16" spans="2:94" ht="19.8" customHeight="1">
      <c r="F16" s="11" t="s">
        <v>377</v>
      </c>
      <c r="I16" s="11" t="str">
        <f>IFERROR(VLOOKUP($CI$2,清掃パート勤務形態一覧!$A$2:$BZ$200,20,FALSE),"")</f>
        <v>23:00～24:30</v>
      </c>
      <c r="J16" s="57"/>
      <c r="K16" s="57"/>
      <c r="L16" s="57"/>
      <c r="M16" s="57"/>
      <c r="N16" s="57"/>
      <c r="O16" s="57"/>
      <c r="P16" s="57"/>
      <c r="T16" s="16" t="s">
        <v>410</v>
      </c>
      <c r="V16" s="11">
        <f>IFERROR(VLOOKUP($CI$2,清掃パート勤務形態一覧!$A$2:$BZ$200,13,FALSE),"")</f>
        <v>3</v>
      </c>
      <c r="W16" s="16" t="s">
        <v>411</v>
      </c>
      <c r="AC16" s="16"/>
      <c r="AD16" s="56"/>
      <c r="AI16" s="16"/>
      <c r="AJ16" s="16"/>
      <c r="AK16" s="16"/>
      <c r="AL16" s="16"/>
      <c r="AM16" s="12" t="s">
        <v>370</v>
      </c>
    </row>
    <row r="17" spans="2:44" ht="19.8" customHeight="1">
      <c r="F17" s="11" t="s">
        <v>404</v>
      </c>
      <c r="I17" s="11" t="str">
        <f>IFERROR(VLOOKUP($CI$2,清掃パート勤務形態一覧!$A$2:$BZ$200,21,FALSE),"")</f>
        <v>日中作業</v>
      </c>
      <c r="J17" s="57"/>
      <c r="K17" s="57"/>
      <c r="L17" s="57"/>
      <c r="M17" s="57"/>
      <c r="N17" s="57"/>
      <c r="O17" s="57"/>
      <c r="P17" s="57"/>
      <c r="T17" s="16" t="s">
        <v>454</v>
      </c>
      <c r="V17" s="11">
        <f>IFERROR(VLOOKUP($CI$2,清掃パート勤務形態一覧!$A$2:$BZ$200,14,FALSE),"")</f>
        <v>8</v>
      </c>
      <c r="W17" s="16" t="s">
        <v>411</v>
      </c>
      <c r="AC17" s="16"/>
      <c r="AD17" s="56"/>
      <c r="AI17" s="16"/>
      <c r="AJ17" s="16"/>
      <c r="AK17" s="16"/>
      <c r="AL17" s="16"/>
      <c r="AM17" s="12"/>
    </row>
    <row r="18" spans="2:44" ht="19.8" customHeight="1">
      <c r="F18" s="11" t="s">
        <v>405</v>
      </c>
      <c r="I18" s="11" t="str">
        <f>IFERROR(VLOOKUP($CI$2,清掃パート勤務形態一覧!$A$2:$BZ$200,22,FALSE),"")</f>
        <v>夜間作業</v>
      </c>
      <c r="J18" s="57"/>
      <c r="K18" s="57"/>
      <c r="L18" s="57"/>
      <c r="M18" s="57"/>
      <c r="N18" s="57"/>
      <c r="O18" s="57"/>
      <c r="P18" s="57"/>
      <c r="T18" s="16"/>
      <c r="U18" s="16"/>
      <c r="V18" s="16"/>
      <c r="W18" s="16"/>
      <c r="X18" s="16"/>
      <c r="Y18" s="16"/>
      <c r="Z18" s="16"/>
      <c r="AC18" s="16"/>
      <c r="AD18" s="56"/>
      <c r="AI18" s="16"/>
      <c r="AJ18" s="16"/>
      <c r="AK18" s="16"/>
      <c r="AL18" s="16"/>
      <c r="AM18" s="82">
        <f>BZ2</f>
        <v>46054</v>
      </c>
      <c r="AN18" s="82"/>
      <c r="AO18" s="82"/>
      <c r="AP18" s="82"/>
      <c r="AQ18" s="82"/>
      <c r="AR18" s="82"/>
    </row>
    <row r="19" spans="2:44" ht="19.8" customHeight="1">
      <c r="AM19" s="12"/>
    </row>
    <row r="20" spans="2:44" ht="19.8" customHeight="1">
      <c r="D20" s="11" t="s">
        <v>553</v>
      </c>
      <c r="AM20" s="61"/>
    </row>
    <row r="21" spans="2:44" ht="19.8" customHeight="1">
      <c r="D21" s="11" t="s">
        <v>378</v>
      </c>
      <c r="AN21" s="15" t="s">
        <v>397</v>
      </c>
      <c r="AR21" s="14" t="s">
        <v>394</v>
      </c>
    </row>
    <row r="22" spans="2:44" ht="19.8" customHeight="1">
      <c r="D22" s="11" t="s">
        <v>547</v>
      </c>
      <c r="AM22" s="12"/>
      <c r="AR22" s="62" t="s">
        <v>400</v>
      </c>
    </row>
    <row r="23" spans="2:44" ht="19.8" customHeight="1">
      <c r="D23" s="11" t="s">
        <v>555</v>
      </c>
      <c r="AM23" s="12"/>
      <c r="AR23" s="63" t="s">
        <v>399</v>
      </c>
    </row>
    <row r="24" spans="2:44" ht="19.8" customHeight="1">
      <c r="D24" s="11" t="s">
        <v>554</v>
      </c>
      <c r="AM24" s="12"/>
    </row>
    <row r="25" spans="2:44" ht="19.8" customHeight="1">
      <c r="D25" s="11" t="s">
        <v>549</v>
      </c>
      <c r="AM25" s="12"/>
    </row>
    <row r="26" spans="2:44" ht="19.8" customHeight="1">
      <c r="D26" s="11" t="s">
        <v>550</v>
      </c>
      <c r="AN26" s="15" t="s">
        <v>398</v>
      </c>
      <c r="AR26" s="11" t="str">
        <f>IFERROR(VLOOKUP($CI$2,清掃パート勤務形態一覧!$A$2:$BZ$200,46,FALSE),"")</f>
        <v>横浜市戸塚区</v>
      </c>
    </row>
    <row r="27" spans="2:44" ht="19.8" customHeight="1">
      <c r="AM27" s="13"/>
      <c r="AR27" s="11" t="str">
        <f>IFERROR(VLOOKUP($CI$2,清掃パート勤務形態一覧!$A$2:$BZ$200,47,FALSE),"")</f>
        <v>上矢部町４４０番地１　グランガーデン東戸塚５４０号</v>
      </c>
    </row>
    <row r="28" spans="2:44" ht="19.8" customHeight="1">
      <c r="B28" s="11" t="s">
        <v>380</v>
      </c>
      <c r="C28" s="11" t="s">
        <v>381</v>
      </c>
      <c r="K28" s="11" t="s">
        <v>453</v>
      </c>
      <c r="O28" s="59" t="s">
        <v>377</v>
      </c>
      <c r="P28" s="78">
        <f>IFERROR(VLOOKUP($CI$2,清掃パート勤務形態一覧!$A$2:$BZ$200,34,FALSE),"")</f>
        <v>3000</v>
      </c>
      <c r="Q28" s="78"/>
      <c r="R28" s="78"/>
      <c r="S28" s="78"/>
      <c r="T28" s="78"/>
      <c r="U28" s="78"/>
      <c r="V28" s="11" t="s">
        <v>387</v>
      </c>
      <c r="AM28" s="12"/>
    </row>
    <row r="29" spans="2:44" ht="19.8" customHeight="1">
      <c r="K29" s="11" t="s">
        <v>388</v>
      </c>
      <c r="O29" s="59" t="s">
        <v>404</v>
      </c>
      <c r="P29" s="78">
        <f>IFERROR(VLOOKUP($CI$2,清掃パート勤務形態一覧!$A$2:$BZ$200,35,FALSE),"")</f>
        <v>1300</v>
      </c>
      <c r="Q29" s="78"/>
      <c r="R29" s="78"/>
      <c r="S29" s="78"/>
      <c r="T29" s="78"/>
      <c r="U29" s="78"/>
      <c r="AR29" s="11" t="str">
        <f>IFERROR(VLOOKUP($CI$2,清掃パート勤務形態一覧!$A$2:$BZ$200,4,FALSE),"")</f>
        <v>石黒　真弓</v>
      </c>
    </row>
    <row r="30" spans="2:44" ht="19.8" customHeight="1">
      <c r="O30" s="59" t="s">
        <v>405</v>
      </c>
      <c r="P30" s="78">
        <f>IFERROR(VLOOKUP($CI$2,清掃パート勤務形態一覧!$A$2:$BZ$200,36,FALSE),"")</f>
        <v>1600</v>
      </c>
      <c r="Q30" s="78"/>
      <c r="R30" s="78"/>
      <c r="S30" s="78"/>
      <c r="T30" s="78"/>
      <c r="U30" s="78"/>
    </row>
    <row r="31" spans="2:44" ht="19.8" customHeight="1">
      <c r="C31" s="11" t="s">
        <v>364</v>
      </c>
    </row>
    <row r="33" spans="2:18" ht="19.8" customHeight="1">
      <c r="B33" s="11" t="s">
        <v>413</v>
      </c>
      <c r="C33" s="11" t="s">
        <v>382</v>
      </c>
    </row>
    <row r="34" spans="2:18" ht="19.8" customHeight="1">
      <c r="C34" s="11" t="s">
        <v>383</v>
      </c>
    </row>
    <row r="35" spans="2:18" ht="19.8" customHeight="1">
      <c r="C35" s="11" t="s">
        <v>384</v>
      </c>
    </row>
    <row r="37" spans="2:18" ht="19.8" customHeight="1">
      <c r="B37" s="11" t="s">
        <v>414</v>
      </c>
      <c r="C37" s="11" t="s">
        <v>386</v>
      </c>
    </row>
    <row r="38" spans="2:18" ht="19.8" customHeight="1">
      <c r="C38" s="11" t="s">
        <v>366</v>
      </c>
    </row>
    <row r="39" spans="2:18" ht="19.8" customHeight="1">
      <c r="I39" s="82"/>
      <c r="J39" s="82"/>
      <c r="K39" s="82"/>
      <c r="L39" s="82"/>
      <c r="M39" s="82"/>
      <c r="N39" s="82"/>
      <c r="O39" s="82"/>
      <c r="P39" s="82"/>
      <c r="Q39" s="82"/>
      <c r="R39" s="82"/>
    </row>
    <row r="40" spans="2:18" ht="19.8" customHeight="1">
      <c r="C40" s="12"/>
    </row>
    <row r="41" spans="2:18" ht="19.8" customHeight="1">
      <c r="C41" s="12"/>
    </row>
    <row r="42" spans="2:18" ht="19.8" customHeight="1">
      <c r="B42" s="12"/>
    </row>
    <row r="43" spans="2:18" ht="19.8" customHeight="1">
      <c r="C43" s="12"/>
    </row>
    <row r="44" spans="2:18" ht="19.8" customHeight="1">
      <c r="B44" s="12"/>
    </row>
    <row r="45" spans="2:18" ht="19.8" customHeight="1">
      <c r="B45" s="60"/>
    </row>
    <row r="46" spans="2:18" ht="19.8" customHeight="1">
      <c r="C46" s="12"/>
    </row>
    <row r="47" spans="2:18" ht="19.8" customHeight="1">
      <c r="C47" s="12"/>
    </row>
    <row r="48" spans="2:18" ht="19.8" customHeight="1">
      <c r="C48" s="12"/>
    </row>
    <row r="49" spans="2:7" ht="19.8" customHeight="1">
      <c r="C49" s="12"/>
    </row>
    <row r="50" spans="2:7" ht="19.8" customHeight="1">
      <c r="B50" s="12"/>
    </row>
    <row r="51" spans="2:7" ht="19.8" customHeight="1">
      <c r="B51" s="12"/>
    </row>
    <row r="52" spans="2:7" ht="19.8" customHeight="1">
      <c r="B52" s="12"/>
    </row>
    <row r="53" spans="2:7" ht="19.8" customHeight="1">
      <c r="B53" s="12"/>
    </row>
    <row r="54" spans="2:7" ht="19.8" customHeight="1">
      <c r="B54" s="12"/>
    </row>
    <row r="55" spans="2:7" ht="19.8" customHeight="1">
      <c r="B55" s="12"/>
    </row>
    <row r="56" spans="2:7" ht="19.8" customHeight="1">
      <c r="B56" s="82"/>
      <c r="C56" s="82"/>
      <c r="D56" s="82"/>
      <c r="E56" s="82"/>
      <c r="F56" s="82"/>
      <c r="G56" s="82"/>
    </row>
    <row r="57" spans="2:7" ht="19.8" customHeight="1">
      <c r="B57" s="12"/>
    </row>
    <row r="58" spans="2:7" ht="19.8" customHeight="1">
      <c r="B58" s="61"/>
    </row>
    <row r="59" spans="2:7" ht="19.8" customHeight="1">
      <c r="C59" s="15"/>
      <c r="G59" s="14"/>
    </row>
    <row r="60" spans="2:7" ht="25.2" customHeight="1">
      <c r="B60" s="12"/>
      <c r="G60" s="62"/>
    </row>
    <row r="61" spans="2:7" ht="25.2" customHeight="1">
      <c r="B61" s="12"/>
      <c r="G61" s="63"/>
    </row>
    <row r="62" spans="2:7" ht="19.8" customHeight="1">
      <c r="B62" s="12"/>
    </row>
    <row r="63" spans="2:7" ht="19.8" customHeight="1">
      <c r="B63" s="12"/>
    </row>
    <row r="64" spans="2:7" ht="19.8" customHeight="1">
      <c r="C64" s="15"/>
    </row>
    <row r="65" spans="2:2" ht="19.8" customHeight="1">
      <c r="B65" s="13"/>
    </row>
    <row r="66" spans="2:2" ht="19.8" customHeight="1">
      <c r="B66" s="12"/>
    </row>
    <row r="67" spans="2:2" ht="19.8" customHeight="1">
      <c r="B67" s="12"/>
    </row>
  </sheetData>
  <mergeCells count="8">
    <mergeCell ref="AT1:BC1"/>
    <mergeCell ref="AM18:AR18"/>
    <mergeCell ref="B56:G56"/>
    <mergeCell ref="BZ2:CG2"/>
    <mergeCell ref="P28:U28"/>
    <mergeCell ref="P29:U29"/>
    <mergeCell ref="P30:U30"/>
    <mergeCell ref="I39:R39"/>
  </mergeCells>
  <phoneticPr fontId="1"/>
  <pageMargins left="0.22" right="0.16" top="0.36" bottom="0.16" header="0.3" footer="0.16"/>
  <pageSetup paperSize="9" scale="7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PrintSheet">
                <anchor moveWithCells="1" sizeWithCells="1">
                  <from>
                    <xdr:col>77</xdr:col>
                    <xdr:colOff>15240</xdr:colOff>
                    <xdr:row>3</xdr:row>
                    <xdr:rowOff>45720</xdr:rowOff>
                  </from>
                  <to>
                    <xdr:col>84</xdr:col>
                    <xdr:colOff>53340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SaveAsPDF">
                <anchor moveWithCells="1" sizeWithCells="1">
                  <from>
                    <xdr:col>77</xdr:col>
                    <xdr:colOff>30480</xdr:colOff>
                    <xdr:row>6</xdr:row>
                    <xdr:rowOff>160020</xdr:rowOff>
                  </from>
                  <to>
                    <xdr:col>84</xdr:col>
                    <xdr:colOff>22860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E89C6-765D-4066-B4CE-2CC8BBD030BD}">
  <sheetPr codeName="Sheet7">
    <tabColor rgb="FF7030A0"/>
    <pageSetUpPr fitToPage="1"/>
  </sheetPr>
  <dimension ref="B1:CP61"/>
  <sheetViews>
    <sheetView showZeros="0" view="pageBreakPreview" topLeftCell="N1" zoomScale="60" zoomScaleNormal="100" workbookViewId="0">
      <selection activeCell="BZ2" sqref="BZ2:CG2"/>
    </sheetView>
  </sheetViews>
  <sheetFormatPr defaultColWidth="2.09765625" defaultRowHeight="19.8" customHeight="1"/>
  <cols>
    <col min="1" max="1" width="2.59765625" style="11" customWidth="1"/>
    <col min="2" max="2" width="8.59765625" style="11" customWidth="1"/>
    <col min="3" max="3" width="2.09765625" style="11"/>
    <col min="4" max="4" width="2.59765625" style="11" customWidth="1"/>
    <col min="5" max="7" width="2.09765625" style="11"/>
    <col min="8" max="8" width="2.59765625" style="11" customWidth="1"/>
    <col min="9" max="9" width="2.19921875" style="11" customWidth="1"/>
    <col min="10" max="15" width="2.09765625" style="11"/>
    <col min="16" max="16" width="2.19921875" style="11" customWidth="1"/>
    <col min="17" max="17" width="2.09765625" style="11"/>
    <col min="18" max="18" width="2.296875" style="11" customWidth="1"/>
    <col min="19" max="19" width="2.59765625" style="11" bestFit="1" customWidth="1"/>
    <col min="20" max="20" width="2.09765625" style="11"/>
    <col min="21" max="26" width="2.59765625" style="11" customWidth="1"/>
    <col min="27" max="27" width="2.5" style="11" customWidth="1"/>
    <col min="28" max="34" width="2.59765625" style="11" customWidth="1"/>
    <col min="35" max="38" width="2.09765625" style="11"/>
    <col min="39" max="39" width="9.5" style="11" customWidth="1"/>
    <col min="40" max="16384" width="2.09765625" style="11"/>
  </cols>
  <sheetData>
    <row r="1" spans="2:94" ht="19.8" customHeight="1" thickBot="1">
      <c r="K1" s="14" t="s">
        <v>360</v>
      </c>
      <c r="AM1" s="11" t="s">
        <v>385</v>
      </c>
      <c r="AN1" s="11" t="s">
        <v>395</v>
      </c>
      <c r="AT1" s="82">
        <f>BZ2</f>
        <v>46054</v>
      </c>
      <c r="AU1" s="82"/>
      <c r="AV1" s="82"/>
      <c r="AW1" s="82"/>
      <c r="AX1" s="82"/>
      <c r="AY1" s="82"/>
      <c r="AZ1" s="82"/>
      <c r="BA1" s="82"/>
      <c r="BB1" s="82"/>
      <c r="BC1" s="82"/>
      <c r="BD1" s="11" t="s">
        <v>402</v>
      </c>
    </row>
    <row r="2" spans="2:94" ht="19.8" customHeight="1" thickBot="1">
      <c r="AN2" s="12" t="s">
        <v>401</v>
      </c>
      <c r="BZ2" s="79">
        <v>46054</v>
      </c>
      <c r="CA2" s="80"/>
      <c r="CB2" s="80"/>
      <c r="CC2" s="80"/>
      <c r="CD2" s="80"/>
      <c r="CE2" s="80"/>
      <c r="CF2" s="80"/>
      <c r="CG2" s="81"/>
      <c r="CI2" s="74" t="s">
        <v>445</v>
      </c>
      <c r="CJ2" s="75"/>
      <c r="CK2" s="75"/>
      <c r="CL2" s="75"/>
      <c r="CM2" s="75"/>
      <c r="CN2" s="75"/>
      <c r="CO2" s="75"/>
      <c r="CP2" s="76"/>
    </row>
    <row r="3" spans="2:94" ht="19.8" customHeight="1">
      <c r="AM3" s="12"/>
    </row>
    <row r="4" spans="2:94" ht="19.8" customHeight="1">
      <c r="B4" s="11" t="s">
        <v>396</v>
      </c>
      <c r="P4" s="11" t="str">
        <f>IFERROR(VLOOKUP($CI$2,清掃パート勤務形態一覧!$A$2:$BZ$200,4,FALSE),"")</f>
        <v>藤田  和枝</v>
      </c>
      <c r="W4" s="11" t="s">
        <v>371</v>
      </c>
      <c r="AM4" s="12" t="s">
        <v>389</v>
      </c>
      <c r="AN4" s="11" t="s">
        <v>390</v>
      </c>
    </row>
    <row r="5" spans="2:94" ht="19.8" customHeight="1">
      <c r="B5" s="11" t="s">
        <v>361</v>
      </c>
      <c r="AN5" s="12" t="s">
        <v>367</v>
      </c>
    </row>
    <row r="6" spans="2:94" ht="19.8" customHeight="1">
      <c r="AM6" s="12"/>
    </row>
    <row r="7" spans="2:94" ht="19.8" customHeight="1">
      <c r="B7" s="11" t="s">
        <v>372</v>
      </c>
      <c r="C7" s="11" t="s">
        <v>373</v>
      </c>
      <c r="AM7" s="60"/>
      <c r="AN7" s="11" t="s">
        <v>368</v>
      </c>
    </row>
    <row r="8" spans="2:94" ht="19.8" customHeight="1">
      <c r="C8" s="11" t="s">
        <v>362</v>
      </c>
      <c r="AN8" s="12" t="s">
        <v>391</v>
      </c>
    </row>
    <row r="9" spans="2:94" ht="19.8" customHeight="1">
      <c r="AN9" s="12" t="s">
        <v>392</v>
      </c>
    </row>
    <row r="10" spans="2:94" ht="19.8" customHeight="1">
      <c r="C10" s="11" t="s">
        <v>403</v>
      </c>
      <c r="H10" s="55" t="s">
        <v>423</v>
      </c>
      <c r="I10" s="11" t="str">
        <f>IFERROR(VLOOKUP($CI$2,清掃パート勤務形態一覧!$A$2:$BZ$200,5,FALSE),"")</f>
        <v>東横フェスタ1</v>
      </c>
      <c r="R10" s="55" t="s">
        <v>404</v>
      </c>
      <c r="S10" s="11" t="str">
        <f>IFERROR(VLOOKUP($CI$2,清掃パート勤務形態一覧!$A$2:$BZ$200,6,FALSE),"")</f>
        <v>東横フェスタ1</v>
      </c>
      <c r="AN10" s="12" t="s">
        <v>393</v>
      </c>
    </row>
    <row r="11" spans="2:94" ht="19.8" customHeight="1">
      <c r="H11" s="11" t="s">
        <v>556</v>
      </c>
      <c r="AM11" s="12"/>
    </row>
    <row r="12" spans="2:94" ht="19.8" customHeight="1">
      <c r="C12" s="11" t="s">
        <v>375</v>
      </c>
      <c r="H12" s="55"/>
      <c r="I12" s="11" t="s">
        <v>441</v>
      </c>
      <c r="R12" s="11" t="s">
        <v>374</v>
      </c>
      <c r="AM12" s="12" t="s">
        <v>558</v>
      </c>
    </row>
    <row r="13" spans="2:94" ht="19.8" customHeight="1">
      <c r="B13" s="11" t="s">
        <v>363</v>
      </c>
      <c r="H13" s="11" t="s">
        <v>557</v>
      </c>
      <c r="AM13" s="12" t="s">
        <v>563</v>
      </c>
    </row>
    <row r="14" spans="2:94" ht="19.8" customHeight="1">
      <c r="AM14" s="12"/>
    </row>
    <row r="15" spans="2:94" ht="19.8" customHeight="1">
      <c r="B15" s="11" t="s">
        <v>376</v>
      </c>
      <c r="C15" s="11" t="s">
        <v>562</v>
      </c>
      <c r="W15" s="56" t="s">
        <v>412</v>
      </c>
      <c r="X15" s="16"/>
      <c r="Y15" s="16" t="s">
        <v>410</v>
      </c>
      <c r="Z15" s="16"/>
      <c r="AA15" s="11">
        <f>IFERROR(VLOOKUP($CI$2,清掃パート勤務形態一覧!$A$2:$BZ$200,12,FALSE),"")</f>
        <v>5</v>
      </c>
      <c r="AB15" s="16" t="s">
        <v>411</v>
      </c>
      <c r="AM15" s="12" t="s">
        <v>369</v>
      </c>
    </row>
    <row r="16" spans="2:94" ht="19.8" customHeight="1">
      <c r="H16" s="59" t="s">
        <v>423</v>
      </c>
      <c r="I16" s="11" t="str">
        <f>IFERROR(VLOOKUP($CI$2,清掃パート勤務形態一覧!$A$2:$BZ$200,20,FALSE),"")</f>
        <v>23:00～24:30</v>
      </c>
      <c r="J16" s="57"/>
      <c r="K16" s="57"/>
      <c r="L16" s="57"/>
      <c r="M16" s="57"/>
      <c r="N16" s="57"/>
      <c r="O16" s="57"/>
      <c r="P16" s="57"/>
      <c r="T16" s="16" t="s">
        <v>410</v>
      </c>
      <c r="V16" s="16"/>
      <c r="W16" s="11">
        <f>IFERROR(VLOOKUP($CI$2,清掃パート勤務形態一覧!$A$2:$BZ$200,13,FALSE),"")</f>
        <v>3</v>
      </c>
      <c r="X16" s="16" t="s">
        <v>411</v>
      </c>
      <c r="AC16" s="16"/>
      <c r="AD16" s="56"/>
      <c r="AI16" s="16"/>
      <c r="AJ16" s="16"/>
      <c r="AK16" s="16"/>
      <c r="AL16" s="16"/>
      <c r="AM16" s="12" t="s">
        <v>370</v>
      </c>
    </row>
    <row r="17" spans="2:44" ht="19.8" customHeight="1">
      <c r="H17" s="59" t="s">
        <v>404</v>
      </c>
      <c r="I17" s="11" t="str">
        <f>IFERROR(VLOOKUP($CI$2,清掃パート勤務形態一覧!$A$2:$BZ$200,21,FALSE),"")</f>
        <v>16:00～20:00</v>
      </c>
      <c r="J17" s="57"/>
      <c r="K17" s="57"/>
      <c r="L17" s="57"/>
      <c r="M17" s="57"/>
      <c r="N17" s="57"/>
      <c r="O17" s="57"/>
      <c r="P17" s="57"/>
      <c r="T17" s="16" t="s">
        <v>410</v>
      </c>
      <c r="V17" s="16"/>
      <c r="W17" s="11">
        <f>IFERROR(VLOOKUP($CI$2,清掃パート勤務形態一覧!$A$2:$BZ$200,14,FALSE),"")</f>
        <v>2</v>
      </c>
      <c r="X17" s="16" t="s">
        <v>411</v>
      </c>
      <c r="AC17" s="16"/>
      <c r="AD17" s="56"/>
      <c r="AI17" s="16"/>
      <c r="AJ17" s="16"/>
      <c r="AK17" s="16"/>
      <c r="AL17" s="16"/>
      <c r="AM17" s="12"/>
    </row>
    <row r="18" spans="2:44" ht="19.8" customHeight="1">
      <c r="AM18" s="82">
        <f>BZ2</f>
        <v>46054</v>
      </c>
      <c r="AN18" s="82"/>
      <c r="AO18" s="82"/>
      <c r="AP18" s="82"/>
      <c r="AQ18" s="82"/>
      <c r="AR18" s="82"/>
    </row>
    <row r="19" spans="2:44" ht="19.8" customHeight="1">
      <c r="D19" s="11" t="s">
        <v>379</v>
      </c>
      <c r="AM19" s="12"/>
    </row>
    <row r="20" spans="2:44" ht="19.8" customHeight="1">
      <c r="D20" s="11" t="s">
        <v>559</v>
      </c>
      <c r="AM20" s="61"/>
    </row>
    <row r="21" spans="2:44" ht="19.8" customHeight="1">
      <c r="D21" s="11" t="s">
        <v>547</v>
      </c>
      <c r="AN21" s="15" t="s">
        <v>397</v>
      </c>
      <c r="AR21" s="14" t="s">
        <v>394</v>
      </c>
    </row>
    <row r="22" spans="2:44" ht="19.8" customHeight="1">
      <c r="AM22" s="12"/>
      <c r="AR22" s="62" t="s">
        <v>400</v>
      </c>
    </row>
    <row r="23" spans="2:44" ht="19.8" customHeight="1">
      <c r="B23" s="11" t="s">
        <v>380</v>
      </c>
      <c r="C23" s="11" t="s">
        <v>381</v>
      </c>
      <c r="J23" s="59" t="s">
        <v>423</v>
      </c>
      <c r="K23" s="11" t="s">
        <v>455</v>
      </c>
      <c r="P23" s="78">
        <f>IFERROR(VLOOKUP($CI$2,清掃パート勤務形態一覧!$A$2:$BZ$200,34,FALSE),"")</f>
        <v>3000</v>
      </c>
      <c r="Q23" s="78"/>
      <c r="R23" s="78"/>
      <c r="S23" s="78"/>
      <c r="T23" s="78"/>
      <c r="U23" s="78"/>
      <c r="V23" s="11" t="s">
        <v>387</v>
      </c>
      <c r="AM23" s="12"/>
      <c r="AR23" s="63" t="s">
        <v>399</v>
      </c>
    </row>
    <row r="24" spans="2:44" ht="19.8" customHeight="1">
      <c r="J24" s="59" t="s">
        <v>404</v>
      </c>
      <c r="K24" s="11" t="s">
        <v>388</v>
      </c>
      <c r="P24" s="78">
        <f>IFERROR(VLOOKUP($CI$2,清掃パート勤務形態一覧!$A$2:$BZ$200,35,FALSE),"")</f>
        <v>1225</v>
      </c>
      <c r="Q24" s="78"/>
      <c r="R24" s="78"/>
      <c r="S24" s="78"/>
      <c r="T24" s="78"/>
      <c r="U24" s="78"/>
      <c r="AM24" s="12"/>
    </row>
    <row r="25" spans="2:44" ht="19.8" customHeight="1">
      <c r="C25" s="11">
        <f>IFERROR(VLOOKUP($CI$2,清掃パート勤務形態一覧!$A$2:$BZ$200,54,FALSE),"")</f>
        <v>0</v>
      </c>
      <c r="P25" s="65">
        <f>IFERROR(VLOOKUP($CI$2,清掃パート勤務形態一覧!$A$2:$BZ$200,38,FALSE),"")</f>
        <v>0</v>
      </c>
      <c r="Q25" s="65"/>
      <c r="R25" s="65"/>
      <c r="S25" s="65"/>
      <c r="T25" s="65"/>
      <c r="U25" s="65"/>
      <c r="V25" s="11">
        <f>IFERROR(VLOOKUP($CI$2,清掃パート勤務形態一覧!$A$2:$BZ$200,55,FALSE),"")</f>
        <v>0</v>
      </c>
      <c r="AM25" s="12"/>
    </row>
    <row r="26" spans="2:44" ht="19.8" customHeight="1">
      <c r="C26" s="11" t="s">
        <v>364</v>
      </c>
      <c r="AN26" s="15" t="s">
        <v>398</v>
      </c>
      <c r="AR26" s="11" t="str">
        <f>IFERROR(VLOOKUP($CI$2,清掃パート勤務形態一覧!$A$2:$BZ$200,46,FALSE),"")</f>
        <v>横浜市戸塚区</v>
      </c>
    </row>
    <row r="27" spans="2:44" ht="19.8" customHeight="1">
      <c r="AM27" s="13"/>
      <c r="AR27" s="11" t="str">
        <f>IFERROR(VLOOKUP($CI$2,清掃パート勤務形態一覧!$A$2:$BZ$200,47,FALSE),"")</f>
        <v>汲沢一丁目１１番５　４０１号</v>
      </c>
    </row>
    <row r="28" spans="2:44" ht="19.8" customHeight="1">
      <c r="B28" s="11" t="s">
        <v>413</v>
      </c>
      <c r="C28" s="11" t="s">
        <v>382</v>
      </c>
      <c r="AM28" s="12"/>
    </row>
    <row r="29" spans="2:44" ht="19.8" customHeight="1">
      <c r="C29" s="11" t="s">
        <v>383</v>
      </c>
      <c r="AM29" s="12"/>
      <c r="AR29" s="11" t="str">
        <f>IFERROR(VLOOKUP($CI$2,清掃パート勤務形態一覧!$A$2:$BZ$200,4,FALSE),"")</f>
        <v>藤田  和枝</v>
      </c>
    </row>
    <row r="30" spans="2:44" ht="19.8" customHeight="1">
      <c r="C30" s="11" t="s">
        <v>384</v>
      </c>
    </row>
    <row r="32" spans="2:44" ht="19.8" customHeight="1">
      <c r="B32" s="11" t="s">
        <v>414</v>
      </c>
      <c r="C32" s="11" t="s">
        <v>386</v>
      </c>
    </row>
    <row r="33" spans="3:3" ht="19.8" customHeight="1">
      <c r="C33" s="11" t="s">
        <v>366</v>
      </c>
    </row>
    <row r="60" ht="25.2" customHeight="1"/>
    <row r="61" ht="25.2" customHeight="1"/>
  </sheetData>
  <mergeCells count="5">
    <mergeCell ref="AM18:AR18"/>
    <mergeCell ref="BZ2:CG2"/>
    <mergeCell ref="P23:U23"/>
    <mergeCell ref="P24:U24"/>
    <mergeCell ref="AT1:BC1"/>
  </mergeCells>
  <phoneticPr fontId="1"/>
  <pageMargins left="0.37" right="0.16" top="0.45" bottom="0.19" header="0.3" footer="0.21"/>
  <pageSetup paperSize="9" scale="7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intSheet">
                <anchor moveWithCells="1" sizeWithCells="1">
                  <from>
                    <xdr:col>77</xdr:col>
                    <xdr:colOff>22860</xdr:colOff>
                    <xdr:row>3</xdr:row>
                    <xdr:rowOff>45720</xdr:rowOff>
                  </from>
                  <to>
                    <xdr:col>84</xdr:col>
                    <xdr:colOff>60960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SaveAsPDF">
                <anchor moveWithCells="1" sizeWithCells="1">
                  <from>
                    <xdr:col>77</xdr:col>
                    <xdr:colOff>53340</xdr:colOff>
                    <xdr:row>6</xdr:row>
                    <xdr:rowOff>99060</xdr:rowOff>
                  </from>
                  <to>
                    <xdr:col>84</xdr:col>
                    <xdr:colOff>45720</xdr:colOff>
                    <xdr:row>8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4F11F-B7E5-4D61-84F6-43C9952A13F0}">
  <sheetPr codeName="Sheet10">
    <tabColor rgb="FF7030A0"/>
    <pageSetUpPr fitToPage="1"/>
  </sheetPr>
  <dimension ref="B1:CP67"/>
  <sheetViews>
    <sheetView showZeros="0" view="pageBreakPreview" topLeftCell="N1" zoomScale="60" zoomScaleNormal="100" workbookViewId="0">
      <selection activeCell="BZ2" sqref="BZ2:CG2"/>
    </sheetView>
  </sheetViews>
  <sheetFormatPr defaultColWidth="2.09765625" defaultRowHeight="19.8" customHeight="1"/>
  <cols>
    <col min="1" max="1" width="2.59765625" style="11" customWidth="1"/>
    <col min="2" max="2" width="8.59765625" style="11" customWidth="1"/>
    <col min="3" max="3" width="2.09765625" style="11"/>
    <col min="4" max="4" width="2.59765625" style="11" customWidth="1"/>
    <col min="5" max="7" width="2.09765625" style="11"/>
    <col min="8" max="8" width="2.59765625" style="11" customWidth="1"/>
    <col min="9" max="9" width="2.19921875" style="11" customWidth="1"/>
    <col min="10" max="15" width="2.09765625" style="11"/>
    <col min="16" max="16" width="2.19921875" style="11" customWidth="1"/>
    <col min="17" max="17" width="2.09765625" style="11"/>
    <col min="18" max="18" width="2.296875" style="11" customWidth="1"/>
    <col min="19" max="19" width="2.59765625" style="11" bestFit="1" customWidth="1"/>
    <col min="20" max="20" width="2.09765625" style="11"/>
    <col min="21" max="26" width="2.59765625" style="11" customWidth="1"/>
    <col min="27" max="27" width="2.5" style="11" customWidth="1"/>
    <col min="28" max="34" width="2.59765625" style="11" customWidth="1"/>
    <col min="35" max="38" width="2.09765625" style="11"/>
    <col min="39" max="39" width="9.09765625" style="11" customWidth="1"/>
    <col min="40" max="16384" width="2.09765625" style="11"/>
  </cols>
  <sheetData>
    <row r="1" spans="2:94" ht="19.8" customHeight="1" thickBot="1">
      <c r="K1" s="14" t="s">
        <v>360</v>
      </c>
      <c r="AM1" s="11" t="s">
        <v>413</v>
      </c>
      <c r="AN1" s="11" t="s">
        <v>382</v>
      </c>
    </row>
    <row r="2" spans="2:94" ht="19.8" customHeight="1" thickBot="1">
      <c r="AN2" s="11" t="s">
        <v>383</v>
      </c>
      <c r="BZ2" s="79">
        <v>46054</v>
      </c>
      <c r="CA2" s="80"/>
      <c r="CB2" s="80"/>
      <c r="CC2" s="80"/>
      <c r="CD2" s="80"/>
      <c r="CE2" s="80"/>
      <c r="CF2" s="80"/>
      <c r="CG2" s="81"/>
      <c r="CI2" s="74" t="s">
        <v>444</v>
      </c>
      <c r="CJ2" s="75"/>
      <c r="CK2" s="75"/>
      <c r="CL2" s="75"/>
      <c r="CM2" s="75"/>
      <c r="CN2" s="75"/>
      <c r="CO2" s="75"/>
      <c r="CP2" s="76"/>
    </row>
    <row r="3" spans="2:94" ht="19.8" customHeight="1">
      <c r="AN3" s="11" t="s">
        <v>384</v>
      </c>
    </row>
    <row r="4" spans="2:94" ht="19.8" customHeight="1">
      <c r="B4" s="11" t="s">
        <v>396</v>
      </c>
      <c r="P4" s="11" t="str">
        <f>IFERROR(VLOOKUP($CI$2,清掃パート勤務形態一覧!$A$2:$BZ$200,4,FALSE),"")</f>
        <v>押村　喜代子</v>
      </c>
      <c r="W4" s="11" t="s">
        <v>371</v>
      </c>
      <c r="AM4" s="11" t="s">
        <v>414</v>
      </c>
      <c r="AN4" s="11" t="s">
        <v>386</v>
      </c>
    </row>
    <row r="5" spans="2:94" ht="19.8" customHeight="1">
      <c r="B5" s="11" t="s">
        <v>361</v>
      </c>
      <c r="AN5" s="11" t="s">
        <v>366</v>
      </c>
    </row>
    <row r="7" spans="2:94" ht="19.8" customHeight="1">
      <c r="B7" s="11" t="s">
        <v>372</v>
      </c>
      <c r="C7" s="11" t="s">
        <v>373</v>
      </c>
      <c r="AM7" s="11" t="s">
        <v>385</v>
      </c>
      <c r="AN7" s="11" t="s">
        <v>395</v>
      </c>
      <c r="AT7" s="82">
        <f>BZ2</f>
        <v>46054</v>
      </c>
      <c r="AU7" s="82"/>
      <c r="AV7" s="82"/>
      <c r="AW7" s="82"/>
      <c r="AX7" s="82"/>
      <c r="AY7" s="82"/>
      <c r="AZ7" s="82"/>
      <c r="BA7" s="82"/>
      <c r="BB7" s="82"/>
      <c r="BC7" s="82"/>
      <c r="BD7" s="11" t="s">
        <v>402</v>
      </c>
    </row>
    <row r="8" spans="2:94" ht="19.8" customHeight="1">
      <c r="C8" s="11" t="s">
        <v>362</v>
      </c>
      <c r="AN8" s="12" t="s">
        <v>401</v>
      </c>
    </row>
    <row r="9" spans="2:94" ht="19.8" customHeight="1">
      <c r="AM9" s="12"/>
    </row>
    <row r="10" spans="2:94" ht="19.8" customHeight="1">
      <c r="C10" s="11" t="s">
        <v>403</v>
      </c>
      <c r="H10" s="55" t="s">
        <v>423</v>
      </c>
      <c r="I10" s="11" t="str">
        <f>IFERROR(VLOOKUP($CI$2,清掃パート勤務形態一覧!$A$2:$BZ$200,5,FALSE),"")</f>
        <v>東横フェスタ2</v>
      </c>
      <c r="R10" s="55" t="s">
        <v>404</v>
      </c>
      <c r="S10" s="11" t="str">
        <f>IFERROR(VLOOKUP($CI$2,清掃パート勤務形態一覧!$A$2:$BZ$200,6,FALSE),"")</f>
        <v xml:space="preserve">東横フェスタ8 </v>
      </c>
      <c r="AA10" s="55" t="s">
        <v>405</v>
      </c>
      <c r="AB10" s="11" t="str">
        <f>IFERROR(VLOOKUP($CI$2,清掃パート勤務形態一覧!$A$2:$BZ$200,7,FALSE),"")</f>
        <v xml:space="preserve">東横フェスタ8 </v>
      </c>
      <c r="AM10" s="12" t="s">
        <v>389</v>
      </c>
      <c r="AN10" s="11" t="s">
        <v>390</v>
      </c>
    </row>
    <row r="11" spans="2:94" ht="19.8" customHeight="1">
      <c r="H11" s="66" t="s">
        <v>406</v>
      </c>
      <c r="I11" s="67" t="str">
        <f>IFERROR(VLOOKUP($CI$2,清掃パート勤務形態一覧!$A$2:$BZ$200,8,FALSE),"")</f>
        <v>サクラス戸塚</v>
      </c>
      <c r="J11" s="67"/>
      <c r="K11" s="67"/>
      <c r="L11" s="67"/>
      <c r="M11" s="67"/>
      <c r="N11" s="67"/>
      <c r="O11" s="67"/>
      <c r="P11" s="67"/>
      <c r="Q11" s="67"/>
      <c r="R11" s="66" t="s">
        <v>407</v>
      </c>
      <c r="S11" s="67" t="str">
        <f>IFERROR(VLOOKUP($CI$2,清掃パート勤務形態一覧!$A$2:$BZ$200,9,FALSE),"")</f>
        <v>甲の管理物件全般</v>
      </c>
      <c r="T11" s="67"/>
      <c r="U11" s="67"/>
      <c r="V11" s="67"/>
      <c r="W11" s="68"/>
      <c r="X11" s="68"/>
      <c r="Y11" s="68"/>
      <c r="Z11" s="68"/>
      <c r="AA11" s="69"/>
      <c r="AB11" s="70">
        <f>IFERROR(VLOOKUP($CI$2,清掃パート勤務形態一覧!$A$2:$BZ$200,10,FALSE),"")</f>
        <v>0</v>
      </c>
      <c r="AC11" s="70"/>
      <c r="AD11" s="70"/>
      <c r="AE11" s="70"/>
      <c r="AN11" s="12" t="s">
        <v>367</v>
      </c>
    </row>
    <row r="12" spans="2:94" ht="19.8" customHeight="1">
      <c r="H12" s="11" t="s">
        <v>556</v>
      </c>
      <c r="AM12" s="12"/>
    </row>
    <row r="13" spans="2:94" ht="19.8" customHeight="1">
      <c r="C13" s="11" t="s">
        <v>375</v>
      </c>
      <c r="H13" s="55"/>
      <c r="I13" s="11" t="s">
        <v>441</v>
      </c>
      <c r="R13" s="11" t="s">
        <v>374</v>
      </c>
      <c r="X13" s="11" t="s">
        <v>456</v>
      </c>
      <c r="AM13" s="60"/>
      <c r="AN13" s="11" t="s">
        <v>368</v>
      </c>
    </row>
    <row r="14" spans="2:94" ht="19.8" customHeight="1">
      <c r="B14" s="11" t="s">
        <v>363</v>
      </c>
      <c r="H14" s="11" t="s">
        <v>557</v>
      </c>
      <c r="AN14" s="12" t="s">
        <v>391</v>
      </c>
    </row>
    <row r="15" spans="2:94" ht="19.8" customHeight="1">
      <c r="AN15" s="12" t="s">
        <v>392</v>
      </c>
    </row>
    <row r="16" spans="2:94" ht="19.8" customHeight="1">
      <c r="B16" s="11" t="s">
        <v>376</v>
      </c>
      <c r="C16" s="11" t="s">
        <v>562</v>
      </c>
      <c r="W16" s="56" t="s">
        <v>412</v>
      </c>
      <c r="X16" s="16"/>
      <c r="Y16" s="16" t="s">
        <v>410</v>
      </c>
      <c r="Z16" s="16"/>
      <c r="AA16" s="11">
        <f>IFERROR(VLOOKUP($CI$2,清掃パート勤務形態一覧!$A$2:$BZ$200,12,FALSE),"")</f>
        <v>5</v>
      </c>
      <c r="AB16" s="16" t="s">
        <v>411</v>
      </c>
      <c r="AN16" s="12" t="s">
        <v>393</v>
      </c>
    </row>
    <row r="17" spans="2:44" ht="19.8" customHeight="1">
      <c r="F17" s="11" t="s">
        <v>377</v>
      </c>
      <c r="I17" s="11" t="str">
        <f>IFERROR(VLOOKUP($CI$2,清掃パート勤務形態一覧!$A$2:$BZ$200,20,FALSE),"")</f>
        <v>23:00～24:30</v>
      </c>
      <c r="J17" s="57"/>
      <c r="K17" s="57"/>
      <c r="L17" s="57"/>
      <c r="M17" s="57"/>
      <c r="N17" s="57"/>
      <c r="O17" s="57"/>
      <c r="P17" s="57"/>
      <c r="T17" s="16" t="s">
        <v>410</v>
      </c>
      <c r="V17" s="16"/>
      <c r="W17" s="11">
        <f>IFERROR(VLOOKUP($CI$2,清掃パート勤務形態一覧!$A$2:$BZ$200,13,FALSE),"")</f>
        <v>3</v>
      </c>
      <c r="X17" s="16" t="s">
        <v>411</v>
      </c>
      <c r="AC17" s="16"/>
      <c r="AD17" s="56"/>
      <c r="AI17" s="16"/>
      <c r="AJ17" s="16"/>
      <c r="AK17" s="16"/>
      <c r="AL17" s="16"/>
      <c r="AN17" s="12"/>
    </row>
    <row r="18" spans="2:44" ht="19.8" customHeight="1">
      <c r="F18" s="11" t="s">
        <v>404</v>
      </c>
      <c r="I18" s="11" t="str">
        <f>IFERROR(VLOOKUP($CI$2,清掃パート勤務形態一覧!$A$2:$BZ$200,21,FALSE),"")</f>
        <v>12:00～20:00</v>
      </c>
      <c r="J18" s="57"/>
      <c r="K18" s="57"/>
      <c r="L18" s="57"/>
      <c r="M18" s="57"/>
      <c r="N18" s="57"/>
      <c r="O18" s="57"/>
      <c r="P18" s="57"/>
      <c r="T18" s="16" t="s">
        <v>410</v>
      </c>
      <c r="V18" s="16"/>
      <c r="W18" s="11">
        <f>IFERROR(VLOOKUP($CI$2,清掃パート勤務形態一覧!$A$2:$BZ$200,14,FALSE),"")</f>
        <v>2</v>
      </c>
      <c r="X18" s="16" t="s">
        <v>411</v>
      </c>
      <c r="AC18" s="16"/>
      <c r="AD18" s="56"/>
      <c r="AI18" s="16"/>
      <c r="AJ18" s="16"/>
      <c r="AK18" s="16"/>
      <c r="AL18" s="16"/>
      <c r="AM18" s="12" t="s">
        <v>558</v>
      </c>
    </row>
    <row r="19" spans="2:44" ht="19.8" customHeight="1">
      <c r="F19" s="11" t="s">
        <v>405</v>
      </c>
      <c r="I19" s="11" t="str">
        <f>IFERROR(VLOOKUP($CI$2,清掃パート勤務形態一覧!$A$2:$BZ$200,22,FALSE),"")</f>
        <v>16:00～20:00</v>
      </c>
      <c r="K19" s="57"/>
      <c r="L19" s="57"/>
      <c r="M19" s="57"/>
      <c r="N19" s="57"/>
      <c r="O19" s="57"/>
      <c r="P19" s="57"/>
      <c r="T19" s="16" t="s">
        <v>410</v>
      </c>
      <c r="V19" s="16"/>
      <c r="W19" s="11">
        <f>IFERROR(VLOOKUP($CI$2,清掃パート勤務形態一覧!$A$2:$BZ$200,15,FALSE),"")</f>
        <v>1</v>
      </c>
      <c r="X19" s="16" t="s">
        <v>411</v>
      </c>
      <c r="AC19" s="16"/>
      <c r="AD19" s="56"/>
      <c r="AI19" s="16"/>
      <c r="AJ19" s="16"/>
      <c r="AK19" s="16"/>
      <c r="AL19" s="16"/>
      <c r="AM19" s="12" t="s">
        <v>563</v>
      </c>
    </row>
    <row r="20" spans="2:44" ht="19.8" customHeight="1">
      <c r="F20" s="67" t="s">
        <v>406</v>
      </c>
      <c r="I20" s="11" t="str">
        <f>IFERROR(VLOOKUP($CI$2,清掃パート勤務形態一覧!$A$2:$BZ$200,23,FALSE),"")</f>
        <v>7:00～10:00</v>
      </c>
      <c r="J20" s="57"/>
      <c r="K20" s="57"/>
      <c r="L20" s="57"/>
      <c r="M20" s="57"/>
      <c r="N20" s="57"/>
      <c r="O20" s="57"/>
      <c r="P20" s="57"/>
      <c r="T20" s="16" t="s">
        <v>410</v>
      </c>
      <c r="V20" s="16"/>
      <c r="W20" s="11">
        <f>IFERROR(VLOOKUP($CI$2,清掃パート勤務形態一覧!$A$2:$BZ$200,16,FALSE),"")</f>
        <v>2</v>
      </c>
      <c r="X20" s="16" t="s">
        <v>411</v>
      </c>
      <c r="AC20" s="16"/>
      <c r="AD20" s="56"/>
      <c r="AI20" s="16"/>
      <c r="AJ20" s="16"/>
      <c r="AK20" s="16"/>
      <c r="AL20" s="16"/>
      <c r="AM20" s="12"/>
    </row>
    <row r="21" spans="2:44" ht="19.8" customHeight="1">
      <c r="F21" s="67" t="s">
        <v>407</v>
      </c>
      <c r="I21" s="11" t="str">
        <f>IFERROR(VLOOKUP($CI$2,清掃パート勤務形態一覧!$A$2:$BZ$200,24,FALSE),"")</f>
        <v>日中作業</v>
      </c>
      <c r="J21" s="57"/>
      <c r="K21" s="57"/>
      <c r="L21" s="57"/>
      <c r="M21" s="57"/>
      <c r="N21" s="57"/>
      <c r="O21" s="57"/>
      <c r="P21" s="57"/>
      <c r="T21" s="16" t="s">
        <v>454</v>
      </c>
      <c r="V21" s="16"/>
      <c r="W21" s="11">
        <f>IFERROR(VLOOKUP($CI$2,清掃パート勤務形態一覧!$A$2:$BZ$200,17,FALSE),"")</f>
        <v>8</v>
      </c>
      <c r="X21" s="16" t="s">
        <v>411</v>
      </c>
      <c r="AC21" s="16"/>
      <c r="AD21" s="56"/>
      <c r="AI21" s="16"/>
      <c r="AJ21" s="16"/>
      <c r="AK21" s="16"/>
      <c r="AL21" s="16"/>
      <c r="AM21" s="12" t="s">
        <v>369</v>
      </c>
    </row>
    <row r="22" spans="2:44" ht="19.8" customHeight="1">
      <c r="F22" s="67"/>
      <c r="I22" s="11" t="str">
        <f>IFERROR(VLOOKUP($CI$2,清掃パート勤務形態一覧!$A$2:$BZ$200,25,FALSE),"")</f>
        <v>夜間作業</v>
      </c>
      <c r="J22" s="57"/>
      <c r="K22" s="57"/>
      <c r="L22" s="57"/>
      <c r="M22" s="57"/>
      <c r="N22" s="57"/>
      <c r="O22" s="57"/>
      <c r="P22" s="57"/>
      <c r="T22" s="16"/>
      <c r="AC22" s="16"/>
      <c r="AD22" s="56"/>
      <c r="AI22" s="16"/>
      <c r="AJ22" s="16"/>
      <c r="AK22" s="16"/>
      <c r="AL22" s="16"/>
      <c r="AM22" s="12" t="s">
        <v>370</v>
      </c>
    </row>
    <row r="23" spans="2:44" ht="19.8" customHeight="1">
      <c r="AM23" s="12"/>
    </row>
    <row r="24" spans="2:44" ht="19.8" customHeight="1">
      <c r="D24" s="11" t="s">
        <v>379</v>
      </c>
      <c r="AM24" s="82">
        <f>BZ2</f>
        <v>46054</v>
      </c>
      <c r="AN24" s="82"/>
      <c r="AO24" s="82"/>
      <c r="AP24" s="82"/>
      <c r="AQ24" s="82"/>
      <c r="AR24" s="82"/>
    </row>
    <row r="25" spans="2:44" ht="19.8" customHeight="1">
      <c r="D25" s="11" t="s">
        <v>559</v>
      </c>
      <c r="AM25" s="12"/>
    </row>
    <row r="26" spans="2:44" ht="19.8" customHeight="1">
      <c r="D26" s="11" t="s">
        <v>547</v>
      </c>
      <c r="AM26" s="61"/>
    </row>
    <row r="27" spans="2:44" ht="19.8" customHeight="1">
      <c r="D27" s="11" t="s">
        <v>555</v>
      </c>
      <c r="AN27" s="15" t="s">
        <v>397</v>
      </c>
      <c r="AR27" s="14" t="s">
        <v>394</v>
      </c>
    </row>
    <row r="28" spans="2:44" ht="19.8" customHeight="1">
      <c r="D28" s="11" t="s">
        <v>554</v>
      </c>
      <c r="AM28" s="12"/>
      <c r="AR28" s="62" t="s">
        <v>400</v>
      </c>
    </row>
    <row r="29" spans="2:44" ht="19.8" customHeight="1">
      <c r="D29" s="11" t="s">
        <v>549</v>
      </c>
      <c r="AM29" s="12"/>
      <c r="AR29" s="63" t="s">
        <v>399</v>
      </c>
    </row>
    <row r="30" spans="2:44" ht="19.8" customHeight="1">
      <c r="D30" s="11" t="s">
        <v>550</v>
      </c>
      <c r="AM30" s="12"/>
    </row>
    <row r="31" spans="2:44" ht="19.8" customHeight="1">
      <c r="AM31" s="12"/>
    </row>
    <row r="32" spans="2:44" ht="19.8" customHeight="1">
      <c r="B32" s="11" t="s">
        <v>380</v>
      </c>
      <c r="C32" s="11" t="s">
        <v>381</v>
      </c>
      <c r="J32" s="71" t="s">
        <v>423</v>
      </c>
      <c r="N32" s="11" t="s">
        <v>455</v>
      </c>
      <c r="Q32" s="65"/>
      <c r="R32" s="78">
        <f>IFERROR(VLOOKUP($CI$2,清掃パート勤務形態一覧!$A$2:$BZ$200,34,FALSE),"")</f>
        <v>3000</v>
      </c>
      <c r="S32" s="78"/>
      <c r="T32" s="78"/>
      <c r="U32" s="78"/>
      <c r="V32" s="78"/>
      <c r="W32" s="78"/>
      <c r="X32" s="11" t="s">
        <v>387</v>
      </c>
      <c r="AN32" s="15" t="s">
        <v>398</v>
      </c>
      <c r="AR32" s="11" t="str">
        <f>IFERROR(VLOOKUP($CI$2,清掃パート勤務形態一覧!$A$2:$BZ$200,46,FALSE),"")</f>
        <v>横浜市戸塚区</v>
      </c>
    </row>
    <row r="33" spans="3:44" ht="19.8" customHeight="1">
      <c r="J33" s="71" t="s">
        <v>457</v>
      </c>
      <c r="N33" s="11" t="s">
        <v>388</v>
      </c>
      <c r="Q33" s="65"/>
      <c r="R33" s="78">
        <f>IFERROR(VLOOKUP($CI$2,清掃パート勤務形態一覧!$A$2:$BZ$200,35,FALSE),"")</f>
        <v>1225</v>
      </c>
      <c r="S33" s="78"/>
      <c r="T33" s="78"/>
      <c r="U33" s="78"/>
      <c r="V33" s="78"/>
      <c r="W33" s="78"/>
      <c r="AM33" s="13"/>
      <c r="AR33" s="11" t="str">
        <f>IFERROR(VLOOKUP($CI$2,清掃パート勤務形態一覧!$A$2:$BZ$200,47,FALSE),"")</f>
        <v>汲沢町１３３５番地３</v>
      </c>
    </row>
    <row r="34" spans="3:44" ht="19.8" customHeight="1">
      <c r="J34" s="71" t="s">
        <v>407</v>
      </c>
      <c r="N34" s="11" t="s">
        <v>388</v>
      </c>
      <c r="Q34" s="65"/>
      <c r="R34" s="78">
        <f>IFERROR(VLOOKUP($CI$2,清掃パート勤務形態一覧!$A$2:$BZ$200,36,FALSE),"")</f>
        <v>1300</v>
      </c>
      <c r="S34" s="78"/>
      <c r="T34" s="78"/>
      <c r="U34" s="78"/>
      <c r="V34" s="78"/>
      <c r="W34" s="78"/>
    </row>
    <row r="35" spans="3:44" ht="19.8" customHeight="1">
      <c r="Q35" s="65"/>
      <c r="R35" s="78">
        <f>IFERROR(VLOOKUP($CI$2,清掃パート勤務形態一覧!$A$2:$BZ$200,37,FALSE),"")</f>
        <v>1600</v>
      </c>
      <c r="S35" s="78"/>
      <c r="T35" s="78"/>
      <c r="U35" s="78"/>
      <c r="V35" s="78"/>
      <c r="W35" s="78"/>
      <c r="AR35" s="11" t="str">
        <f>IFERROR(VLOOKUP($CI$2,清掃パート勤務形態一覧!$A$2:$BZ$200,4,FALSE),"")</f>
        <v>押村　喜代子</v>
      </c>
    </row>
    <row r="36" spans="3:44" ht="19.8" customHeight="1">
      <c r="C36" s="11" t="s">
        <v>364</v>
      </c>
    </row>
    <row r="66" ht="25.2" customHeight="1"/>
    <row r="67" ht="25.2" customHeight="1"/>
  </sheetData>
  <mergeCells count="7">
    <mergeCell ref="R34:W34"/>
    <mergeCell ref="R35:W35"/>
    <mergeCell ref="BZ2:CG2"/>
    <mergeCell ref="AT7:BC7"/>
    <mergeCell ref="AM24:AR24"/>
    <mergeCell ref="R32:W32"/>
    <mergeCell ref="R33:W33"/>
  </mergeCells>
  <phoneticPr fontId="1"/>
  <pageMargins left="0.26" right="0.16" top="0.4" bottom="0.36" header="0.3" footer="0.3"/>
  <pageSetup paperSize="9" scale="7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PrintSheet">
                <anchor moveWithCells="1" sizeWithCells="1">
                  <from>
                    <xdr:col>77</xdr:col>
                    <xdr:colOff>22860</xdr:colOff>
                    <xdr:row>3</xdr:row>
                    <xdr:rowOff>0</xdr:rowOff>
                  </from>
                  <to>
                    <xdr:col>84</xdr:col>
                    <xdr:colOff>60960</xdr:colOff>
                    <xdr:row>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SaveAsPDF">
                <anchor moveWithCells="1" sizeWithCells="1">
                  <from>
                    <xdr:col>77</xdr:col>
                    <xdr:colOff>22860</xdr:colOff>
                    <xdr:row>5</xdr:row>
                    <xdr:rowOff>190500</xdr:rowOff>
                  </from>
                  <to>
                    <xdr:col>84</xdr:col>
                    <xdr:colOff>15240</xdr:colOff>
                    <xdr:row>7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7B3DA-05FE-4D45-8127-8C19DD7AE10E}">
  <sheetPr codeName="Sheet11">
    <pageSetUpPr fitToPage="1"/>
  </sheetPr>
  <dimension ref="B1:CP64"/>
  <sheetViews>
    <sheetView showZeros="0" view="pageBreakPreview" zoomScale="60" zoomScaleNormal="100" workbookViewId="0">
      <selection activeCell="BZ2" sqref="BZ2:CG2"/>
    </sheetView>
  </sheetViews>
  <sheetFormatPr defaultColWidth="2.09765625" defaultRowHeight="19.8" customHeight="1"/>
  <cols>
    <col min="1" max="1" width="2.59765625" style="11" customWidth="1"/>
    <col min="2" max="2" width="8.59765625" style="11" customWidth="1"/>
    <col min="3" max="3" width="2.3984375" style="11" customWidth="1"/>
    <col min="4" max="4" width="2.59765625" style="11" customWidth="1"/>
    <col min="5" max="7" width="2.09765625" style="11"/>
    <col min="8" max="8" width="2.59765625" style="11" customWidth="1"/>
    <col min="9" max="9" width="2.19921875" style="11" customWidth="1"/>
    <col min="10" max="15" width="2.09765625" style="11"/>
    <col min="16" max="16" width="2.19921875" style="11" customWidth="1"/>
    <col min="17" max="17" width="2.09765625" style="11"/>
    <col min="18" max="18" width="2.296875" style="11" customWidth="1"/>
    <col min="19" max="19" width="2.59765625" style="11" bestFit="1" customWidth="1"/>
    <col min="20" max="20" width="2.09765625" style="11"/>
    <col min="21" max="26" width="2.59765625" style="11" customWidth="1"/>
    <col min="27" max="27" width="2.5" style="11" customWidth="1"/>
    <col min="28" max="34" width="2.59765625" style="11" customWidth="1"/>
    <col min="35" max="38" width="2.09765625" style="11"/>
    <col min="39" max="39" width="9.296875" style="11" customWidth="1"/>
    <col min="40" max="16384" width="2.09765625" style="11"/>
  </cols>
  <sheetData>
    <row r="1" spans="2:94" ht="19.8" customHeight="1" thickBot="1">
      <c r="K1" s="14" t="s">
        <v>360</v>
      </c>
      <c r="AM1" s="11" t="s">
        <v>414</v>
      </c>
      <c r="AN1" s="11" t="s">
        <v>386</v>
      </c>
    </row>
    <row r="2" spans="2:94" ht="19.8" customHeight="1" thickBot="1">
      <c r="AN2" s="11" t="s">
        <v>366</v>
      </c>
      <c r="BZ2" s="79">
        <v>46054</v>
      </c>
      <c r="CA2" s="80"/>
      <c r="CB2" s="80"/>
      <c r="CC2" s="80"/>
      <c r="CD2" s="80"/>
      <c r="CE2" s="80"/>
      <c r="CF2" s="80"/>
      <c r="CG2" s="81"/>
      <c r="CI2" s="74" t="s">
        <v>422</v>
      </c>
      <c r="CJ2" s="75"/>
      <c r="CK2" s="75"/>
      <c r="CL2" s="75"/>
      <c r="CM2" s="75"/>
      <c r="CN2" s="75"/>
      <c r="CO2" s="75"/>
      <c r="CP2" s="76"/>
    </row>
    <row r="4" spans="2:94" ht="19.8" customHeight="1">
      <c r="B4" s="11" t="s">
        <v>396</v>
      </c>
      <c r="P4" s="11" t="str">
        <f>IFERROR(VLOOKUP($CI$2,清掃パート勤務形態一覧!$A$2:$BZ$200,4,FALSE),"")</f>
        <v>清水　恭子</v>
      </c>
      <c r="Y4" s="11" t="s">
        <v>371</v>
      </c>
      <c r="AM4" s="11" t="s">
        <v>385</v>
      </c>
      <c r="AN4" s="11" t="s">
        <v>395</v>
      </c>
      <c r="AT4" s="82">
        <f>BZ2</f>
        <v>46054</v>
      </c>
      <c r="AU4" s="82"/>
      <c r="AV4" s="82"/>
      <c r="AW4" s="82"/>
      <c r="AX4" s="82"/>
      <c r="AY4" s="82"/>
      <c r="AZ4" s="82"/>
      <c r="BA4" s="82"/>
      <c r="BB4" s="82"/>
      <c r="BC4" s="82"/>
      <c r="BD4" s="11" t="s">
        <v>402</v>
      </c>
    </row>
    <row r="5" spans="2:94" ht="19.8" customHeight="1">
      <c r="B5" s="11" t="s">
        <v>361</v>
      </c>
      <c r="AN5" s="12" t="s">
        <v>401</v>
      </c>
    </row>
    <row r="6" spans="2:94" ht="19.8" customHeight="1">
      <c r="AM6" s="12"/>
    </row>
    <row r="7" spans="2:94" ht="19.8" customHeight="1">
      <c r="B7" s="11" t="s">
        <v>372</v>
      </c>
      <c r="C7" s="11" t="s">
        <v>373</v>
      </c>
      <c r="AM7" s="12" t="s">
        <v>389</v>
      </c>
      <c r="AN7" s="11" t="s">
        <v>390</v>
      </c>
    </row>
    <row r="8" spans="2:94" ht="19.8" customHeight="1">
      <c r="C8" s="11" t="s">
        <v>362</v>
      </c>
      <c r="AN8" s="12" t="s">
        <v>367</v>
      </c>
    </row>
    <row r="9" spans="2:94" ht="19.8" customHeight="1">
      <c r="AM9" s="12"/>
    </row>
    <row r="10" spans="2:94" ht="19.8" customHeight="1">
      <c r="C10" s="11" t="s">
        <v>403</v>
      </c>
      <c r="H10" s="55" t="s">
        <v>423</v>
      </c>
      <c r="I10" s="83" t="str">
        <f>IFERROR(VLOOKUP($CI$2,清掃パート勤務形態一覧!$A$2:$BZ$200,5,FALSE),"")</f>
        <v>東戸塚NSビル2</v>
      </c>
      <c r="J10" s="83"/>
      <c r="K10" s="83"/>
      <c r="L10" s="83"/>
      <c r="M10" s="83"/>
      <c r="N10" s="83"/>
      <c r="O10" s="83"/>
      <c r="P10" s="83"/>
      <c r="Q10" s="83"/>
      <c r="R10" s="55" t="s">
        <v>404</v>
      </c>
      <c r="S10" s="83" t="str">
        <f>IFERROR(VLOOKUP($CI$2,清掃パート勤務形態一覧!$A$2:$BZ$200,6,FALSE),"")</f>
        <v>アルス東戸塚</v>
      </c>
      <c r="T10" s="83"/>
      <c r="U10" s="83"/>
      <c r="V10" s="83"/>
      <c r="W10" s="83"/>
      <c r="X10" s="83"/>
      <c r="Y10" s="83"/>
      <c r="Z10" s="83"/>
      <c r="AA10" s="55" t="s">
        <v>405</v>
      </c>
      <c r="AB10" s="83" t="str">
        <f>IFERROR(VLOOKUP($CI$2,清掃パート勤務形態一覧!$A$2:$BZ$200,7,FALSE),"")</f>
        <v>東横フェスタ3</v>
      </c>
      <c r="AC10" s="83"/>
      <c r="AD10" s="83"/>
      <c r="AE10" s="83"/>
      <c r="AF10" s="83"/>
      <c r="AG10" s="83"/>
      <c r="AH10" s="83"/>
      <c r="AM10" s="60"/>
      <c r="AN10" s="11" t="s">
        <v>368</v>
      </c>
    </row>
    <row r="11" spans="2:94" ht="19.8" customHeight="1">
      <c r="H11" s="55" t="s">
        <v>406</v>
      </c>
      <c r="I11" s="83" t="str">
        <f>IFERROR(VLOOKUP($CI$2,清掃パート勤務形態一覧!$A$2:$BZ$200,8,FALSE),"")</f>
        <v>シュバルツ</v>
      </c>
      <c r="J11" s="83"/>
      <c r="K11" s="83"/>
      <c r="L11" s="83"/>
      <c r="M11" s="83"/>
      <c r="N11" s="83"/>
      <c r="O11" s="83"/>
      <c r="P11" s="83"/>
      <c r="Q11" s="83"/>
      <c r="R11" s="55" t="s">
        <v>407</v>
      </c>
      <c r="S11" s="83" t="str">
        <f>IFERROR(VLOOKUP($CI$2,清掃パート勤務形態一覧!$A$2:$BZ$200,9,FALSE),"")</f>
        <v>ヴェール</v>
      </c>
      <c r="T11" s="83"/>
      <c r="U11" s="83"/>
      <c r="V11" s="83"/>
      <c r="W11" s="83"/>
      <c r="X11" s="83"/>
      <c r="Y11" s="83"/>
      <c r="Z11" s="83"/>
      <c r="AA11" s="55" t="s">
        <v>408</v>
      </c>
      <c r="AB11" s="83" t="str">
        <f>IFERROR(VLOOKUP($CI$2,清掃パート勤務形態一覧!$A$2:$BZ$200,10,FALSE),"")</f>
        <v>アロマバワリー</v>
      </c>
      <c r="AC11" s="83"/>
      <c r="AD11" s="83"/>
      <c r="AE11" s="83"/>
      <c r="AF11" s="83"/>
      <c r="AG11" s="83"/>
      <c r="AH11" s="83"/>
      <c r="AN11" s="12" t="s">
        <v>391</v>
      </c>
    </row>
    <row r="12" spans="2:94" ht="19.8" customHeight="1">
      <c r="H12" s="55" t="s">
        <v>409</v>
      </c>
      <c r="I12" s="83">
        <f>IFERROR(VLOOKUP($CI$2,清掃パート勤務形態一覧!$A$2:$BZ$200,11,FALSE),"")</f>
        <v>0</v>
      </c>
      <c r="J12" s="83"/>
      <c r="K12" s="83"/>
      <c r="L12" s="83"/>
      <c r="M12" s="83"/>
      <c r="N12" s="83"/>
      <c r="O12" s="83"/>
      <c r="P12" s="83"/>
      <c r="Q12" s="83"/>
      <c r="R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N12" s="12" t="s">
        <v>392</v>
      </c>
    </row>
    <row r="13" spans="2:94" ht="19.8" customHeight="1">
      <c r="H13" s="11" t="s">
        <v>556</v>
      </c>
      <c r="AN13" s="12" t="s">
        <v>393</v>
      </c>
    </row>
    <row r="14" spans="2:94" ht="19.8" customHeight="1">
      <c r="C14" s="11" t="s">
        <v>375</v>
      </c>
      <c r="I14" s="11" t="s">
        <v>374</v>
      </c>
      <c r="AM14" s="12"/>
    </row>
    <row r="15" spans="2:94" ht="19.8" customHeight="1">
      <c r="B15" s="11" t="s">
        <v>363</v>
      </c>
      <c r="H15" s="11" t="s">
        <v>557</v>
      </c>
      <c r="AM15" s="12" t="s">
        <v>558</v>
      </c>
    </row>
    <row r="16" spans="2:94" ht="19.8" customHeight="1">
      <c r="AM16" s="12" t="s">
        <v>563</v>
      </c>
    </row>
    <row r="17" spans="2:44" ht="19.8" customHeight="1">
      <c r="B17" s="11" t="s">
        <v>376</v>
      </c>
      <c r="C17" s="11" t="s">
        <v>562</v>
      </c>
      <c r="W17" s="56" t="s">
        <v>412</v>
      </c>
      <c r="X17" s="16"/>
      <c r="Y17" s="16" t="s">
        <v>410</v>
      </c>
      <c r="Z17" s="16"/>
      <c r="AA17" s="11">
        <f>IFERROR(VLOOKUP($CI$2,清掃パート勤務形態一覧!$A$2:$BZ$200,12,FALSE),"")</f>
        <v>6</v>
      </c>
      <c r="AB17" s="16" t="s">
        <v>411</v>
      </c>
      <c r="AM17" s="12"/>
    </row>
    <row r="18" spans="2:44" ht="19.8" customHeight="1">
      <c r="F18" s="11" t="s">
        <v>377</v>
      </c>
      <c r="I18" s="11" t="str">
        <f>IFERROR(VLOOKUP($CI$2,清掃パート勤務形態一覧!$A$2:$BZ$200,20,FALSE),"")</f>
        <v>7:00～9:30</v>
      </c>
      <c r="J18" s="57"/>
      <c r="K18" s="57"/>
      <c r="L18" s="57"/>
      <c r="M18" s="57"/>
      <c r="N18" s="57"/>
      <c r="O18" s="57"/>
      <c r="P18" s="57"/>
      <c r="T18" s="16" t="s">
        <v>410</v>
      </c>
      <c r="V18" s="84">
        <f>IFERROR(VLOOKUP($CI$2,清掃パート勤務形態一覧!$A$2:$BZ$200,13,FALSE),"")</f>
        <v>2</v>
      </c>
      <c r="W18" s="84"/>
      <c r="X18" s="16" t="s">
        <v>411</v>
      </c>
      <c r="AC18" s="16"/>
      <c r="AD18" s="56"/>
      <c r="AI18" s="16"/>
      <c r="AJ18" s="16"/>
      <c r="AK18" s="16"/>
      <c r="AL18" s="16"/>
      <c r="AM18" s="12" t="s">
        <v>369</v>
      </c>
    </row>
    <row r="19" spans="2:44" ht="19.8" customHeight="1">
      <c r="F19" s="11" t="s">
        <v>404</v>
      </c>
      <c r="I19" s="11" t="str">
        <f>IFERROR(VLOOKUP($CI$2,清掃パート勤務形態一覧!$A$2:$BZ$200,21,FALSE),"")</f>
        <v>9:30～10:30</v>
      </c>
      <c r="J19" s="57"/>
      <c r="K19" s="57"/>
      <c r="L19" s="57"/>
      <c r="M19" s="57"/>
      <c r="N19" s="57"/>
      <c r="O19" s="57"/>
      <c r="P19" s="57"/>
      <c r="T19" s="16" t="s">
        <v>410</v>
      </c>
      <c r="V19" s="84">
        <f>IFERROR(VLOOKUP($CI$2,清掃パート勤務形態一覧!$A$2:$BZ$200,14,FALSE),"")</f>
        <v>1</v>
      </c>
      <c r="W19" s="84"/>
      <c r="X19" s="16" t="s">
        <v>411</v>
      </c>
      <c r="AC19" s="16"/>
      <c r="AD19" s="56"/>
      <c r="AI19" s="16"/>
      <c r="AJ19" s="16"/>
      <c r="AK19" s="16"/>
      <c r="AL19" s="16"/>
      <c r="AM19" s="12" t="s">
        <v>370</v>
      </c>
    </row>
    <row r="20" spans="2:44" ht="19.8" customHeight="1">
      <c r="F20" s="11" t="s">
        <v>405</v>
      </c>
      <c r="I20" s="11" t="str">
        <f>IFERROR(VLOOKUP($CI$2,清掃パート勤務形態一覧!$A$2:$BZ$200,22,FALSE),"")</f>
        <v>12:00～15:00</v>
      </c>
      <c r="K20" s="57"/>
      <c r="L20" s="57"/>
      <c r="M20" s="57"/>
      <c r="N20" s="57"/>
      <c r="O20" s="57"/>
      <c r="P20" s="57"/>
      <c r="T20" s="16" t="s">
        <v>410</v>
      </c>
      <c r="V20" s="84">
        <f>IFERROR(VLOOKUP($CI$2,清掃パート勤務形態一覧!$A$2:$BZ$200,15,FALSE),"")</f>
        <v>3</v>
      </c>
      <c r="W20" s="84"/>
      <c r="X20" s="16" t="s">
        <v>411</v>
      </c>
      <c r="AC20" s="16"/>
      <c r="AD20" s="56"/>
      <c r="AI20" s="16"/>
      <c r="AJ20" s="16"/>
      <c r="AK20" s="16"/>
      <c r="AL20" s="16"/>
      <c r="AM20" s="12"/>
    </row>
    <row r="21" spans="2:44" ht="19.8" customHeight="1">
      <c r="F21" s="11" t="s">
        <v>406</v>
      </c>
      <c r="I21" s="11" t="str">
        <f>IFERROR(VLOOKUP($CI$2,清掃パート勤務形態一覧!$A$2:$BZ$200,23,FALSE),"")</f>
        <v>10:30～12:00</v>
      </c>
      <c r="J21" s="57"/>
      <c r="K21" s="57"/>
      <c r="L21" s="57"/>
      <c r="M21" s="57"/>
      <c r="N21" s="57"/>
      <c r="O21" s="57"/>
      <c r="P21" s="57"/>
      <c r="T21" s="16" t="s">
        <v>410</v>
      </c>
      <c r="V21" s="85">
        <f>IFERROR(VLOOKUP($CI$2,清掃パート勤務形態一覧!$A$2:$BZ$200,16,FALSE),"")</f>
        <v>1</v>
      </c>
      <c r="W21" s="85"/>
      <c r="X21" s="16" t="s">
        <v>411</v>
      </c>
      <c r="AC21" s="16"/>
      <c r="AD21" s="56"/>
      <c r="AI21" s="16"/>
      <c r="AJ21" s="16"/>
      <c r="AK21" s="16"/>
      <c r="AL21" s="16"/>
      <c r="AM21" s="82">
        <f>BZ2</f>
        <v>46054</v>
      </c>
      <c r="AN21" s="82"/>
      <c r="AO21" s="82"/>
      <c r="AP21" s="82"/>
      <c r="AQ21" s="82"/>
      <c r="AR21" s="82"/>
    </row>
    <row r="22" spans="2:44" ht="19.8" customHeight="1">
      <c r="F22" s="11" t="s">
        <v>407</v>
      </c>
      <c r="I22" s="11" t="str">
        <f>IFERROR(VLOOKUP($CI$2,清掃パート勤務形態一覧!$A$2:$BZ$200,24,FALSE),"")</f>
        <v>10:30～11:30</v>
      </c>
      <c r="J22" s="57"/>
      <c r="K22" s="57"/>
      <c r="L22" s="57"/>
      <c r="M22" s="57"/>
      <c r="N22" s="57"/>
      <c r="O22" s="57"/>
      <c r="P22" s="57"/>
      <c r="T22" s="16" t="s">
        <v>410</v>
      </c>
      <c r="V22" s="84">
        <f>IFERROR(VLOOKUP($CI$2,清掃パート勤務形態一覧!$A$2:$BZ$200,17,FALSE),"")</f>
        <v>3</v>
      </c>
      <c r="W22" s="84"/>
      <c r="X22" s="16" t="s">
        <v>411</v>
      </c>
      <c r="AC22" s="16"/>
      <c r="AD22" s="56"/>
      <c r="AI22" s="16"/>
      <c r="AJ22" s="16"/>
      <c r="AK22" s="16"/>
      <c r="AL22" s="16"/>
      <c r="AM22" s="12"/>
    </row>
    <row r="23" spans="2:44" ht="19.8" customHeight="1">
      <c r="F23" s="11" t="s">
        <v>408</v>
      </c>
      <c r="I23" s="11" t="str">
        <f>IFERROR(VLOOKUP($CI$2,清掃パート勤務形態一覧!$A$2:$BZ$200,25,FALSE),"")</f>
        <v>11:30～12:30</v>
      </c>
      <c r="J23" s="57"/>
      <c r="K23" s="57"/>
      <c r="L23" s="57"/>
      <c r="M23" s="57"/>
      <c r="N23" s="57"/>
      <c r="O23" s="57"/>
      <c r="P23" s="57"/>
      <c r="T23" s="16" t="s">
        <v>410</v>
      </c>
      <c r="V23" s="84">
        <f>IFERROR(VLOOKUP($CI$2,清掃パート勤務形態一覧!$A$2:$BZ$200,18,FALSE),"")</f>
        <v>1</v>
      </c>
      <c r="W23" s="84"/>
      <c r="X23" s="16" t="s">
        <v>411</v>
      </c>
      <c r="AC23" s="16"/>
      <c r="AD23" s="56"/>
      <c r="AI23" s="16"/>
      <c r="AJ23" s="16"/>
      <c r="AK23" s="16"/>
      <c r="AL23" s="16"/>
      <c r="AM23" s="61"/>
    </row>
    <row r="24" spans="2:44" ht="19.8" customHeight="1">
      <c r="F24" s="11" t="s">
        <v>409</v>
      </c>
      <c r="I24" s="11">
        <f>IFERROR(VLOOKUP($CI$2,清掃パート勤務形態一覧!$A$2:$BZ$200,26,FALSE),"")</f>
        <v>0</v>
      </c>
      <c r="J24" s="57"/>
      <c r="K24" s="57"/>
      <c r="L24" s="57"/>
      <c r="M24" s="57"/>
      <c r="N24" s="57"/>
      <c r="O24" s="57"/>
      <c r="P24" s="57"/>
      <c r="T24" s="16" t="s">
        <v>410</v>
      </c>
      <c r="V24" s="84">
        <f>IFERROR(VLOOKUP($CI$2,清掃パート勤務形態一覧!$A$2:$BZ$200,19,FALSE),"")</f>
        <v>0</v>
      </c>
      <c r="W24" s="84"/>
      <c r="X24" s="16" t="s">
        <v>411</v>
      </c>
      <c r="AC24" s="16"/>
      <c r="AD24" s="56"/>
      <c r="AI24" s="16"/>
      <c r="AJ24" s="16"/>
      <c r="AK24" s="16"/>
      <c r="AL24" s="16"/>
      <c r="AN24" s="15" t="s">
        <v>397</v>
      </c>
      <c r="AR24" s="14" t="s">
        <v>394</v>
      </c>
    </row>
    <row r="25" spans="2:44" ht="19.8" customHeight="1">
      <c r="AM25" s="12"/>
      <c r="AR25" s="62" t="s">
        <v>400</v>
      </c>
    </row>
    <row r="26" spans="2:44" ht="19.8" customHeight="1">
      <c r="D26" s="11" t="s">
        <v>379</v>
      </c>
      <c r="AM26" s="12"/>
      <c r="AR26" s="63" t="s">
        <v>399</v>
      </c>
    </row>
    <row r="27" spans="2:44" ht="19.8" customHeight="1">
      <c r="D27" s="11" t="s">
        <v>559</v>
      </c>
      <c r="AM27" s="12"/>
    </row>
    <row r="28" spans="2:44" ht="19.8" customHeight="1">
      <c r="D28" s="11" t="s">
        <v>547</v>
      </c>
      <c r="AM28" s="12"/>
    </row>
    <row r="29" spans="2:44" ht="19.8" customHeight="1">
      <c r="AN29" s="15" t="s">
        <v>398</v>
      </c>
      <c r="AR29" s="11" t="str">
        <f>IFERROR(VLOOKUP($CI$2,清掃パート勤務形態一覧!$A$2:$BZ$200,46,FALSE),"")</f>
        <v>横浜市戸塚区</v>
      </c>
    </row>
    <row r="30" spans="2:44" ht="19.8" customHeight="1">
      <c r="B30" s="11" t="s">
        <v>380</v>
      </c>
      <c r="C30" s="11" t="s">
        <v>381</v>
      </c>
      <c r="K30" s="11" t="s">
        <v>388</v>
      </c>
      <c r="P30" s="78">
        <f>IFERROR(VLOOKUP($CI$2,清掃パート勤務形態一覧!$A$2:$BZ$200,34,FALSE),"")</f>
        <v>1225</v>
      </c>
      <c r="Q30" s="78"/>
      <c r="R30" s="78"/>
      <c r="S30" s="78"/>
      <c r="T30" s="78"/>
      <c r="U30" s="78"/>
      <c r="V30" s="11" t="s">
        <v>387</v>
      </c>
      <c r="AM30" s="13"/>
      <c r="AR30" s="11" t="str">
        <f>IFERROR(VLOOKUP($CI$2,清掃パート勤務形態一覧!$A$2:$BZ$200,47,FALSE),"")</f>
        <v>矢部町６００番地２</v>
      </c>
    </row>
    <row r="31" spans="2:44" ht="19.8" customHeight="1">
      <c r="O31" s="59" t="s">
        <v>408</v>
      </c>
      <c r="P31" s="78">
        <f>IFERROR(VLOOKUP($CI$2,清掃パート勤務形態一覧!$A$2:$BZ$200,35,FALSE),"")</f>
        <v>1300</v>
      </c>
      <c r="Q31" s="78"/>
      <c r="R31" s="78"/>
      <c r="S31" s="78"/>
      <c r="T31" s="78"/>
      <c r="U31" s="78"/>
      <c r="V31" s="11" t="s">
        <v>387</v>
      </c>
      <c r="AM31" s="12"/>
    </row>
    <row r="32" spans="2:44" ht="19.8" customHeight="1">
      <c r="C32" s="11">
        <f>IFERROR(VLOOKUP($CI$2,清掃パート勤務形態一覧!$A$2:$BZ$200,54,FALSE),"")</f>
        <v>0</v>
      </c>
      <c r="P32" s="78">
        <f>IFERROR(VLOOKUP($CI$2,清掃パート勤務形態一覧!$A$2:$BZ$200,38,FALSE),"")</f>
        <v>0</v>
      </c>
      <c r="Q32" s="78"/>
      <c r="R32" s="78"/>
      <c r="S32" s="78"/>
      <c r="T32" s="78"/>
      <c r="U32" s="78"/>
      <c r="V32" s="11">
        <f>IFERROR(VLOOKUP($CI$2,清掃パート勤務形態一覧!$A$2:$BZ$200,55,FALSE),"")</f>
        <v>0</v>
      </c>
      <c r="AM32" s="12"/>
      <c r="AR32" s="11" t="str">
        <f>IFERROR(VLOOKUP($CI$2,清掃パート勤務形態一覧!$A$2:$BZ$200,4,FALSE),"")</f>
        <v>清水　恭子</v>
      </c>
    </row>
    <row r="33" spans="2:3" ht="19.8" customHeight="1">
      <c r="C33" s="11" t="s">
        <v>364</v>
      </c>
    </row>
    <row r="35" spans="2:3" ht="19.8" customHeight="1">
      <c r="B35" s="11" t="s">
        <v>413</v>
      </c>
      <c r="C35" s="11" t="s">
        <v>382</v>
      </c>
    </row>
    <row r="36" spans="2:3" ht="19.8" customHeight="1">
      <c r="C36" s="11" t="s">
        <v>383</v>
      </c>
    </row>
    <row r="37" spans="2:3" ht="19.8" customHeight="1">
      <c r="C37" s="11" t="s">
        <v>384</v>
      </c>
    </row>
    <row r="63" ht="25.2" customHeight="1"/>
    <row r="64" ht="25.2" customHeight="1"/>
  </sheetData>
  <mergeCells count="20">
    <mergeCell ref="V22:W22"/>
    <mergeCell ref="BZ2:CG2"/>
    <mergeCell ref="I10:Q10"/>
    <mergeCell ref="S10:Z10"/>
    <mergeCell ref="AB10:AH10"/>
    <mergeCell ref="I11:Q11"/>
    <mergeCell ref="S11:Z11"/>
    <mergeCell ref="AB11:AH11"/>
    <mergeCell ref="I12:Q12"/>
    <mergeCell ref="V18:W18"/>
    <mergeCell ref="V19:W19"/>
    <mergeCell ref="V20:W20"/>
    <mergeCell ref="V21:W21"/>
    <mergeCell ref="AM21:AR21"/>
    <mergeCell ref="AT4:BC4"/>
    <mergeCell ref="V23:W23"/>
    <mergeCell ref="V24:W24"/>
    <mergeCell ref="P30:U30"/>
    <mergeCell ref="P31:U31"/>
    <mergeCell ref="P32:U32"/>
  </mergeCells>
  <phoneticPr fontId="1"/>
  <pageMargins left="0.23" right="0.16" top="0.36" bottom="0.36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PrintSheet">
                <anchor moveWithCells="1" sizeWithCells="1">
                  <from>
                    <xdr:col>77</xdr:col>
                    <xdr:colOff>53340</xdr:colOff>
                    <xdr:row>3</xdr:row>
                    <xdr:rowOff>30480</xdr:rowOff>
                  </from>
                  <to>
                    <xdr:col>84</xdr:col>
                    <xdr:colOff>91440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SaveAsPDF">
                <anchor moveWithCells="1" sizeWithCells="1">
                  <from>
                    <xdr:col>77</xdr:col>
                    <xdr:colOff>144780</xdr:colOff>
                    <xdr:row>6</xdr:row>
                    <xdr:rowOff>190500</xdr:rowOff>
                  </from>
                  <to>
                    <xdr:col>84</xdr:col>
                    <xdr:colOff>137160</xdr:colOff>
                    <xdr:row>8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11</vt:i4>
      </vt:variant>
    </vt:vector>
  </HeadingPairs>
  <TitlesOfParts>
    <vt:vector size="21" baseType="lpstr">
      <vt:lpstr>清掃パート勤務形態一覧</vt:lpstr>
      <vt:lpstr>契約書ベース (1)</vt:lpstr>
      <vt:lpstr>契約書 複数担当(2-6)</vt:lpstr>
      <vt:lpstr>契約書 夜間清掃(1) </vt:lpstr>
      <vt:lpstr>契約書 夜間清掃 複数</vt:lpstr>
      <vt:lpstr>契約書 定期清掃 (1)</vt:lpstr>
      <vt:lpstr>契約書 夜間_定期</vt:lpstr>
      <vt:lpstr>契約書 夜間_日中</vt:lpstr>
      <vt:lpstr>契約書 (押村)</vt:lpstr>
      <vt:lpstr>契約書 複数担当(清水)</vt:lpstr>
      <vt:lpstr>'契約書 (押村)'!Print_Area</vt:lpstr>
      <vt:lpstr>'契約書 定期清掃 (1)'!Print_Area</vt:lpstr>
      <vt:lpstr>'契約書 複数担当(2-6)'!Print_Area</vt:lpstr>
      <vt:lpstr>'契約書 複数担当(清水)'!Print_Area</vt:lpstr>
      <vt:lpstr>'契約書 夜間_定期'!Print_Area</vt:lpstr>
      <vt:lpstr>'契約書 夜間_日中'!Print_Area</vt:lpstr>
      <vt:lpstr>'契約書 夜間清掃 複数'!Print_Area</vt:lpstr>
      <vt:lpstr>'契約書 夜間清掃(1) '!Print_Area</vt:lpstr>
      <vt:lpstr>'契約書ベース (1)'!Print_Area</vt:lpstr>
      <vt:lpstr>清掃パート勤務形態一覧!Print_Area</vt:lpstr>
      <vt:lpstr>清掃パート勤務形態一覧!Print_Titles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堀 堀</dc:creator>
  <cp:lastModifiedBy>kamikawa kamikawa</cp:lastModifiedBy>
  <cp:lastPrinted>2026-03-11T07:55:49Z</cp:lastPrinted>
  <dcterms:created xsi:type="dcterms:W3CDTF">2026-01-21T07:26:35Z</dcterms:created>
  <dcterms:modified xsi:type="dcterms:W3CDTF">2026-04-14T08:57:07Z</dcterms:modified>
</cp:coreProperties>
</file>